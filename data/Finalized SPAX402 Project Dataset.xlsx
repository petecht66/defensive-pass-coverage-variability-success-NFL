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Pass Defense Coverage Schemes Standardized Entropy/Data/"/>
    </mc:Choice>
  </mc:AlternateContent>
  <xr:revisionPtr revIDLastSave="96" documentId="11_F25DC773A252ABDACC104868499C684C5ADE58EE" xr6:coauthVersionLast="47" xr6:coauthVersionMax="47" xr10:uidLastSave="{94758182-0313-442F-9025-AC8D9BF42EA4}"/>
  <bookViews>
    <workbookView xWindow="-96" yWindow="-96" windowWidth="23232" windowHeight="13872" xr2:uid="{00000000-000D-0000-FFFF-FFFF00000000}"/>
  </bookViews>
  <sheets>
    <sheet name="Finalized .CSV File" sheetId="7" r:id="rId1"/>
    <sheet name="2025 Pass Defense Outcomes" sheetId="8" r:id="rId2"/>
    <sheet name="Defensive Schemes" sheetId="2" r:id="rId3"/>
    <sheet name="2025 Coverage Grades by Team" sheetId="4" r:id="rId4"/>
  </sheets>
  <definedNames>
    <definedName name="ExternalData_1" localSheetId="3" hidden="1">'2025 Coverage Grades by Team'!$A$1:$D$693</definedName>
    <definedName name="ExternalData_1" localSheetId="1" hidden="1">'2025 Pass Defense Outcomes'!$A$1:$Q$33</definedName>
    <definedName name="ExternalData_1" localSheetId="2" hidden="1">'Defensive Schemes'!$A$1:$N$33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2" i="7"/>
  <c r="E2" i="7"/>
  <c r="E33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08BE4-8805-4E88-ADEC-9AF27824FEC5}" keepAlive="1" name="Query - 2025 Coverage Grades by Team" description="Connection to the '2025 Coverage Grades by Team' query in the workbook." type="5" refreshedVersion="8" background="1" saveData="1">
    <dbPr connection="Provider=Microsoft.Mashup.OleDb.1;Data Source=$Workbook$;Location=&quot;2025 Coverage Grades by Team&quot;;Extended Properties=&quot;&quot;" command="SELECT * FROM [2025 Coverage Grades by Team]"/>
  </connection>
  <connection id="2" xr16:uid="{5C732482-23F4-49E1-B1BD-B77AE20B4CA6}" keepAlive="1" name="Query - 2025 Pass Defense Outcomes" description="Connection to the '2025 Pass Defense Outcomes' query in the workbook." type="5" refreshedVersion="8" background="1" saveData="1">
    <dbPr connection="Provider=Microsoft.Mashup.OleDb.1;Data Source=$Workbook$;Location=&quot;2025 Pass Defense Outcomes&quot;;Extended Properties=&quot;&quot;" command="SELECT * FROM [2025 Pass Defense Outcomes]"/>
  </connection>
  <connection id="3" xr16:uid="{B9952DB4-02AD-4C36-8EA8-6218BD77CFAD}" keepAlive="1" name="Query - Defensive Schemes" description="Connection to the 'Defensive Schemes' query in the workbook." type="5" refreshedVersion="8" background="1" saveData="1">
    <dbPr connection="Provider=Microsoft.Mashup.OleDb.1;Data Source=$Workbook$;Location=&quot;Defensive Schemes&quot;;Extended Properties=&quot;&quot;" command="SELECT * FROM [Defensive Schemes]"/>
  </connection>
</connections>
</file>

<file path=xl/sharedStrings.xml><?xml version="1.0" encoding="utf-8"?>
<sst xmlns="http://schemas.openxmlformats.org/spreadsheetml/2006/main" count="1618" uniqueCount="137">
  <si>
    <t>Team</t>
  </si>
  <si>
    <t>Cover 0 %</t>
  </si>
  <si>
    <t>Cover 1 %</t>
  </si>
  <si>
    <t>Giants</t>
  </si>
  <si>
    <t>Saints</t>
  </si>
  <si>
    <t>Chargers</t>
  </si>
  <si>
    <t>Rams</t>
  </si>
  <si>
    <t>Vikings</t>
  </si>
  <si>
    <t>Eagles</t>
  </si>
  <si>
    <t>Seahawks</t>
  </si>
  <si>
    <t>Buccaneers</t>
  </si>
  <si>
    <t>Dolphins</t>
  </si>
  <si>
    <t>Jets</t>
  </si>
  <si>
    <t>Chiefs</t>
  </si>
  <si>
    <t>Bills</t>
  </si>
  <si>
    <t>Bears</t>
  </si>
  <si>
    <t>Raiders</t>
  </si>
  <si>
    <t>Colts</t>
  </si>
  <si>
    <t>Texans</t>
  </si>
  <si>
    <t>Patriots</t>
  </si>
  <si>
    <t>Packers</t>
  </si>
  <si>
    <t>Bengals</t>
  </si>
  <si>
    <t>Lions</t>
  </si>
  <si>
    <t>Steelers</t>
  </si>
  <si>
    <t>Broncos</t>
  </si>
  <si>
    <t>Titans</t>
  </si>
  <si>
    <t>Browns</t>
  </si>
  <si>
    <t>Cardinals</t>
  </si>
  <si>
    <t>Cowboys</t>
  </si>
  <si>
    <t>Falcons</t>
  </si>
  <si>
    <t>Ravens</t>
  </si>
  <si>
    <t>49ers</t>
  </si>
  <si>
    <t>Panthers</t>
  </si>
  <si>
    <t>Jaguars</t>
  </si>
  <si>
    <t>Commanders</t>
  </si>
  <si>
    <t>Cover 1 Double %</t>
  </si>
  <si>
    <t>Cover 2 %</t>
  </si>
  <si>
    <t>Cover 3 %</t>
  </si>
  <si>
    <t>Quarter %</t>
  </si>
  <si>
    <t>Cover 6 %</t>
  </si>
  <si>
    <t>Cover 2 Man %</t>
  </si>
  <si>
    <t>Cover 3 Seam %</t>
  </si>
  <si>
    <t>Bracket Cover %</t>
  </si>
  <si>
    <t>Pass Coverage Entropy</t>
  </si>
  <si>
    <t>Pass Coverage Standardized Entropy</t>
  </si>
  <si>
    <t>WAS</t>
  </si>
  <si>
    <t>ED</t>
  </si>
  <si>
    <t>NO</t>
  </si>
  <si>
    <t>LB</t>
  </si>
  <si>
    <t>TB</t>
  </si>
  <si>
    <t>MIN</t>
  </si>
  <si>
    <t>S</t>
  </si>
  <si>
    <t>PIT</t>
  </si>
  <si>
    <t>CB</t>
  </si>
  <si>
    <t>BUF</t>
  </si>
  <si>
    <t>LAC</t>
  </si>
  <si>
    <t>DAL</t>
  </si>
  <si>
    <t>SEA</t>
  </si>
  <si>
    <t>BLT</t>
  </si>
  <si>
    <t>DI</t>
  </si>
  <si>
    <t>JAX</t>
  </si>
  <si>
    <t>HST</t>
  </si>
  <si>
    <t>PHI</t>
  </si>
  <si>
    <t>CHI</t>
  </si>
  <si>
    <t>DEN</t>
  </si>
  <si>
    <t>ATL</t>
  </si>
  <si>
    <t>KC</t>
  </si>
  <si>
    <t>IND</t>
  </si>
  <si>
    <t>TEN</t>
  </si>
  <si>
    <t>CAR</t>
  </si>
  <si>
    <t>CLV</t>
  </si>
  <si>
    <t>MIA</t>
  </si>
  <si>
    <t>LV</t>
  </si>
  <si>
    <t>ARZ</t>
  </si>
  <si>
    <t>DET</t>
  </si>
  <si>
    <t>LA</t>
  </si>
  <si>
    <t>CIN</t>
  </si>
  <si>
    <t>NE</t>
  </si>
  <si>
    <t>SF</t>
  </si>
  <si>
    <t>NYG</t>
  </si>
  <si>
    <t>GB</t>
  </si>
  <si>
    <t>NYJ</t>
  </si>
  <si>
    <t>WR</t>
  </si>
  <si>
    <t>Player Position</t>
  </si>
  <si>
    <t>Advanced Player Grade</t>
  </si>
  <si>
    <t>Player Coverage Grade</t>
  </si>
  <si>
    <t>PFF Abbreviation</t>
  </si>
  <si>
    <t>Average Cornerback Coverage Grade</t>
  </si>
  <si>
    <t>Average Safety Coverage Grade</t>
  </si>
  <si>
    <t>Average Edge Rusher Total Grade</t>
  </si>
  <si>
    <t>Season</t>
  </si>
  <si>
    <t>EPA/Play</t>
  </si>
  <si>
    <t>Total EPA</t>
  </si>
  <si>
    <t>Success %</t>
  </si>
  <si>
    <t>EPA/Pass</t>
  </si>
  <si>
    <t>EPA/Rush</t>
  </si>
  <si>
    <t>Pass Yards</t>
  </si>
  <si>
    <t>Comp %</t>
  </si>
  <si>
    <t>Pass TD</t>
  </si>
  <si>
    <t>Rush Yards</t>
  </si>
  <si>
    <t>Rush TD</t>
  </si>
  <si>
    <t>ADoT</t>
  </si>
  <si>
    <t>Sack %</t>
  </si>
  <si>
    <t>Scramble %</t>
  </si>
  <si>
    <t>Int %</t>
  </si>
  <si>
    <t>1.Houston Texans</t>
  </si>
  <si>
    <t>2.Cleveland Browns</t>
  </si>
  <si>
    <t>3.Seattle Seahawks</t>
  </si>
  <si>
    <t>4.Los Angeles Rams</t>
  </si>
  <si>
    <t>5.Jacksonville Jaguars</t>
  </si>
  <si>
    <t>6.Denver Broncos</t>
  </si>
  <si>
    <t>7.Los Angeles Chargers</t>
  </si>
  <si>
    <t>8.Philadelphia Eagles</t>
  </si>
  <si>
    <t>9.New England Patriots</t>
  </si>
  <si>
    <t>10.Minnesota Vikings</t>
  </si>
  <si>
    <t>11.Indianapolis Colts</t>
  </si>
  <si>
    <t>12.Detroit Lions</t>
  </si>
  <si>
    <t>13.New Orleans Saints</t>
  </si>
  <si>
    <t>14.Green Bay Packers</t>
  </si>
  <si>
    <t>15.Tampa Bay Buccaneers</t>
  </si>
  <si>
    <t>16.Buffalo Bills</t>
  </si>
  <si>
    <t>17.Atlanta Falcons</t>
  </si>
  <si>
    <t>18.Chicago Bears</t>
  </si>
  <si>
    <t>19.Arizona Cardinals</t>
  </si>
  <si>
    <t>20.Kansas City Chiefs</t>
  </si>
  <si>
    <t>21.Baltimore Ravens</t>
  </si>
  <si>
    <t>22.Las Vegas Raiders</t>
  </si>
  <si>
    <t>23.Pittsburgh Steelers</t>
  </si>
  <si>
    <t>24.San Francisco 49ers</t>
  </si>
  <si>
    <t>25.Carolina Panthers</t>
  </si>
  <si>
    <t>26.Miami Dolphins</t>
  </si>
  <si>
    <t>27.Tennessee Titans</t>
  </si>
  <si>
    <t>28.New York Jets</t>
  </si>
  <si>
    <t>29.New York Giants</t>
  </si>
  <si>
    <t>30.Dallas Cowboys</t>
  </si>
  <si>
    <t>31.Washington Commanders</t>
  </si>
  <si>
    <t>32.Cincinnati Bengals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</si>
</sst>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BDBAB6-E429-4356-A553-DF880941C35F}" autoFormatId="16" applyNumberFormats="0" applyBorderFormats="0" applyFontFormats="0" applyPatternFormats="0" applyAlignmentFormats="0" applyWidthHeightFormats="0">
  <queryTableRefresh nextId="18">
    <queryTableFields count="17">
      <queryTableField id="1" name="Team" tableColumnId="1"/>
      <queryTableField id="2" name="PFF Abbreviation" tableColumnId="2"/>
      <queryTableField id="3" name="Season" tableColumnId="3"/>
      <queryTableField id="4" name="EPA/Play" tableColumnId="4"/>
      <queryTableField id="5" name="Total EPA" tableColumnId="5"/>
      <queryTableField id="6" name="Success %" tableColumnId="6"/>
      <queryTableField id="7" name="EPA/Pass" tableColumnId="7"/>
      <queryTableField id="8" name="EPA/Rush" tableColumnId="8"/>
      <queryTableField id="9" name="Pass Yards" tableColumnId="9"/>
      <queryTableField id="10" name="Comp %" tableColumnId="10"/>
      <queryTableField id="11" name="Pass TD" tableColumnId="11"/>
      <queryTableField id="12" name="Rush Yards" tableColumnId="12"/>
      <queryTableField id="13" name="Rush TD" tableColumnId="13"/>
      <queryTableField id="14" name="ADoT" tableColumnId="14"/>
      <queryTableField id="15" name="Sack %" tableColumnId="15"/>
      <queryTableField id="16" name="Scramble %" tableColumnId="16"/>
      <queryTableField id="17" name="Int %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37B0DD-8AFC-4352-B8F3-DC0FB3C21C3F}" autoFormatId="16" applyNumberFormats="0" applyBorderFormats="0" applyFontFormats="0" applyPatternFormats="0" applyAlignmentFormats="0" applyWidthHeightFormats="0">
  <queryTableRefresh nextId="45">
    <queryTableFields count="14">
      <queryTableField id="1" name="Team" tableColumnId="1"/>
      <queryTableField id="43" name="PFF Abbreviation" tableColumnId="2"/>
      <queryTableField id="4" name="Cover 0 %" tableColumnId="4"/>
      <queryTableField id="6" name="Cover 1 %" tableColumnId="6"/>
      <queryTableField id="33" name="Cover 1 Double %" tableColumnId="33"/>
      <queryTableField id="34" name="Cover 2 %" tableColumnId="34"/>
      <queryTableField id="35" name="Cover 3 %" tableColumnId="35"/>
      <queryTableField id="36" name="Quarter %" tableColumnId="36"/>
      <queryTableField id="37" name="Cover 6 %" tableColumnId="37"/>
      <queryTableField id="38" name="Cover 2 Man %" tableColumnId="38"/>
      <queryTableField id="39" name="Cover 3 Seam %" tableColumnId="39"/>
      <queryTableField id="40" name="Bracket Cover %" tableColumnId="40"/>
      <queryTableField id="41" name="Pass Coverage Entropy" tableColumnId="41"/>
      <queryTableField id="42" name="Pass Coverage Standardized Entropy" tableColumnId="4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17516D-D208-4499-B005-DF6797721852}" autoFormatId="16" applyNumberFormats="0" applyBorderFormats="0" applyFontFormats="0" applyPatternFormats="0" applyAlignmentFormats="0" applyWidthHeightFormats="0">
  <queryTableRefresh nextId="17">
    <queryTableFields count="4">
      <queryTableField id="1" name="team" tableColumnId="1"/>
      <queryTableField id="13" name="Player Position" tableColumnId="13"/>
      <queryTableField id="15" name="Advanced Player Grade" tableColumnId="14"/>
      <queryTableField id="16" name="Player Coverage Grade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37F896-4BC1-4D93-8035-98C922D6B43A}" name="Table4" displayName="Table4" ref="A1:G1048576" totalsRowShown="0">
  <autoFilter ref="A1:G1048576" xr:uid="{F237F896-4BC1-4D93-8035-98C922D6B43A}"/>
  <tableColumns count="7">
    <tableColumn id="1" xr3:uid="{321E07BF-A896-4AE5-BBAE-68149BA1C410}" name="Team"/>
    <tableColumn id="2" xr3:uid="{42DA491A-EE67-4B99-9326-E9E374ACD2FC}" name="PFF Abbreviation"/>
    <tableColumn id="3" xr3:uid="{2C8B24FF-ABA9-4852-84AF-0B55CEA865FC}" name="Pass Coverage Standardized Entropy"/>
    <tableColumn id="4" xr3:uid="{5FF775CF-89BA-417A-9409-811AE520B5E7}" name="Average Cornerback Coverage Grade"/>
    <tableColumn id="5" xr3:uid="{327B45AC-CEB4-4C27-9FB5-06D3263E4499}" name="Average Safety Coverage Grade"/>
    <tableColumn id="6" xr3:uid="{91F5448F-1B87-4127-A075-6A9E62A8A22B}" name="Average Edge Rusher Total Grade"/>
    <tableColumn id="7" xr3:uid="{1E631BEA-1040-4824-A517-3DED4137006E}" name="EPA/Pas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EEF50B-808D-4ED1-BF8A-FBE1DDF9C393}" name="_2025_Pass_Defense_Outcomes" displayName="_2025_Pass_Defense_Outcomes" ref="A1:Q33" tableType="queryTable" totalsRowShown="0">
  <autoFilter ref="A1:Q33" xr:uid="{15EEF50B-808D-4ED1-BF8A-FBE1DDF9C393}"/>
  <tableColumns count="17">
    <tableColumn id="1" xr3:uid="{FF4F5590-CBF4-46CE-A32D-DAB9BE2275CB}" uniqueName="1" name="Team" queryTableFieldId="1" dataDxfId="1"/>
    <tableColumn id="2" xr3:uid="{20F79C4D-DCDC-419E-A3CA-A711F79EEE8D}" uniqueName="2" name="PFF Abbreviation" queryTableFieldId="2" dataDxfId="0"/>
    <tableColumn id="3" xr3:uid="{E3E3CCBD-3055-4670-91EB-A49B6952C5C4}" uniqueName="3" name="Season" queryTableFieldId="3"/>
    <tableColumn id="4" xr3:uid="{92BFBBF6-E848-48C2-9774-B587BDB9FA14}" uniqueName="4" name="EPA/Play" queryTableFieldId="4"/>
    <tableColumn id="5" xr3:uid="{33EE6D20-DFD6-4430-AD5F-0FF88082E7AD}" uniqueName="5" name="Total EPA" queryTableFieldId="5"/>
    <tableColumn id="6" xr3:uid="{AEA31845-19A3-4982-8D44-E2A1D5FDA7D6}" uniqueName="6" name="Success %" queryTableFieldId="6"/>
    <tableColumn id="7" xr3:uid="{2CDE1FDF-B76B-49F2-9FCD-BAC8B4CE05EA}" uniqueName="7" name="EPA/Pass" queryTableFieldId="7"/>
    <tableColumn id="8" xr3:uid="{BE25B19D-C887-44B9-98D5-24476EEDA5C3}" uniqueName="8" name="EPA/Rush" queryTableFieldId="8"/>
    <tableColumn id="9" xr3:uid="{7232498F-2270-4129-A0C4-BC89B94293ED}" uniqueName="9" name="Pass Yards" queryTableFieldId="9"/>
    <tableColumn id="10" xr3:uid="{E6CEC35B-8085-4AC5-94E8-39207B071241}" uniqueName="10" name="Comp %" queryTableFieldId="10"/>
    <tableColumn id="11" xr3:uid="{FC124BC8-373B-44A3-B6EA-5D4DE5A56C4C}" uniqueName="11" name="Pass TD" queryTableFieldId="11"/>
    <tableColumn id="12" xr3:uid="{BB17282C-B52B-4E7B-82E1-45D86DBE8269}" uniqueName="12" name="Rush Yards" queryTableFieldId="12"/>
    <tableColumn id="13" xr3:uid="{B20593F0-D58D-43D0-9D27-54031C6524A7}" uniqueName="13" name="Rush TD" queryTableFieldId="13"/>
    <tableColumn id="14" xr3:uid="{8635709D-38A0-4CE3-9876-8C06D4472987}" uniqueName="14" name="ADoT" queryTableFieldId="14"/>
    <tableColumn id="15" xr3:uid="{B3727AA6-A3E4-43D9-8620-DFB0D4FA7AE9}" uniqueName="15" name="Sack %" queryTableFieldId="15"/>
    <tableColumn id="16" xr3:uid="{95C95B89-FB02-48C8-9757-829F8A2B69C8}" uniqueName="16" name="Scramble %" queryTableFieldId="16"/>
    <tableColumn id="17" xr3:uid="{1B29795C-25F0-4C4E-9B7A-E504DF71BD77}" uniqueName="17" name="Int %" queryTableFieldId="1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400EF-842A-405E-9280-35A31D7A4A9F}" name="Defensive_Schemes" displayName="Defensive_Schemes" ref="A1:N33" tableType="queryTable" totalsRowShown="0">
  <autoFilter ref="A1:N33" xr:uid="{584400EF-842A-405E-9280-35A31D7A4A9F}"/>
  <tableColumns count="14">
    <tableColumn id="1" xr3:uid="{DE8A8FB5-B550-415F-B99B-110F4FA7F406}" uniqueName="1" name="Team" queryTableFieldId="1" dataDxfId="5"/>
    <tableColumn id="2" xr3:uid="{F41B6CA3-266B-4824-AF73-95CB9DD0950F}" uniqueName="2" name="PFF Abbreviation" queryTableFieldId="43" dataDxfId="2"/>
    <tableColumn id="4" xr3:uid="{D4AA987C-2E02-47F9-847C-D2FFA9D542B5}" uniqueName="4" name="Cover 0 %" queryTableFieldId="4"/>
    <tableColumn id="6" xr3:uid="{7D242ABE-EB16-4D9B-B51D-8AF03F29ED5F}" uniqueName="6" name="Cover 1 %" queryTableFieldId="6"/>
    <tableColumn id="33" xr3:uid="{327B5AFD-FB74-4381-B97A-EB2FE341132F}" uniqueName="33" name="Cover 1 Double %" queryTableFieldId="33"/>
    <tableColumn id="34" xr3:uid="{C38BD622-A44F-43EA-BB3F-FF88A4BF46B6}" uniqueName="34" name="Cover 2 %" queryTableFieldId="34"/>
    <tableColumn id="35" xr3:uid="{14F5E473-2889-4917-8979-84762368BB01}" uniqueName="35" name="Cover 3 %" queryTableFieldId="35"/>
    <tableColumn id="36" xr3:uid="{0D4F748F-BB4B-4C5D-AC22-523E304F8D14}" uniqueName="36" name="Quarter %" queryTableFieldId="36"/>
    <tableColumn id="37" xr3:uid="{027AE632-C281-41D8-939E-B2CDA73AF9AF}" uniqueName="37" name="Cover 6 %" queryTableFieldId="37"/>
    <tableColumn id="38" xr3:uid="{41C63373-9917-497C-B730-6D7B2B833982}" uniqueName="38" name="Cover 2 Man %" queryTableFieldId="38"/>
    <tableColumn id="39" xr3:uid="{C7577306-6AF1-4471-A47C-319F811E93D3}" uniqueName="39" name="Cover 3 Seam %" queryTableFieldId="39"/>
    <tableColumn id="40" xr3:uid="{4A3D0CD0-B5B8-418D-A029-71E39631DB95}" uniqueName="40" name="Bracket Cover %" queryTableFieldId="40"/>
    <tableColumn id="41" xr3:uid="{671640ED-28B8-49E4-A229-33912D95EDF3}" uniqueName="41" name="Pass Coverage Entropy" queryTableFieldId="41"/>
    <tableColumn id="42" xr3:uid="{32DD7D01-D850-4906-84C3-092A925B079C}" uniqueName="42" name="Pass Coverage Standardized Entropy" queryTableFieldId="4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6BBB88-1728-4CAC-8B19-0E9838615EA0}" name="_2025_Coverage_Grades_by_Team" displayName="_2025_Coverage_Grades_by_Team" ref="A1:D693" tableType="queryTable" totalsRowShown="0">
  <autoFilter ref="A1:D693" xr:uid="{DB6BBB88-1728-4CAC-8B19-0E9838615EA0}"/>
  <tableColumns count="4">
    <tableColumn id="1" xr3:uid="{7621FB76-FB76-4046-BB3D-3ED5828DB722}" uniqueName="1" name="Team" queryTableFieldId="1" dataDxfId="4"/>
    <tableColumn id="13" xr3:uid="{0FCFE257-6E92-43A1-9C51-06C3F7EAFC9D}" uniqueName="13" name="Player Position" queryTableFieldId="13" dataDxfId="3"/>
    <tableColumn id="14" xr3:uid="{CBDAF1EA-8597-48F2-93AB-B224EF5A0687}" uniqueName="14" name="Advanced Player Grade" queryTableFieldId="15"/>
    <tableColumn id="15" xr3:uid="{BD903C3D-8770-4D9B-8C59-BCC14DC54260}" uniqueName="15" name="Player Coverage Grade" queryTableFieldId="1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81D1-909C-4979-9AC7-07ACB8B9EB89}">
  <dimension ref="A1:G33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4.4" x14ac:dyDescent="0.55000000000000004"/>
  <cols>
    <col min="1" max="1" width="11.26171875" bestFit="1" customWidth="1"/>
    <col min="2" max="2" width="16.7890625" bestFit="1" customWidth="1"/>
    <col min="3" max="3" width="32.68359375" customWidth="1"/>
    <col min="4" max="4" width="32.9453125" bestFit="1" customWidth="1"/>
    <col min="5" max="5" width="28.734375" bestFit="1" customWidth="1"/>
    <col min="6" max="6" width="30.15625" bestFit="1" customWidth="1"/>
    <col min="7" max="7" width="10.47265625" bestFit="1" customWidth="1"/>
  </cols>
  <sheetData>
    <row r="1" spans="1:7" x14ac:dyDescent="0.55000000000000004">
      <c r="A1" t="s">
        <v>0</v>
      </c>
      <c r="B1" t="s">
        <v>86</v>
      </c>
      <c r="C1" t="s">
        <v>44</v>
      </c>
      <c r="D1" t="s">
        <v>87</v>
      </c>
      <c r="E1" t="s">
        <v>88</v>
      </c>
      <c r="F1" t="s">
        <v>89</v>
      </c>
      <c r="G1" t="s">
        <v>94</v>
      </c>
    </row>
    <row r="2" spans="1:7" x14ac:dyDescent="0.55000000000000004">
      <c r="A2" t="s">
        <v>3</v>
      </c>
      <c r="B2" s="1" t="s">
        <v>79</v>
      </c>
      <c r="C2">
        <v>0.72095753552376896</v>
      </c>
      <c r="D2">
        <f>AVERAGEIFS('2025 Coverage Grades by Team'!$D:$D, '2025 Coverage Grades by Team'!$A:$A, B2, '2025 Coverage Grades by Team'!$B:$B, "CB")</f>
        <v>-5.6894522426383834E-2</v>
      </c>
      <c r="E2">
        <f>AVERAGEIFS('2025 Coverage Grades by Team'!$D:$D, '2025 Coverage Grades by Team'!$A:$A, B2, '2025 Coverage Grades by Team'!$B:$B, "S")</f>
        <v>-3.2027195207774639E-2</v>
      </c>
      <c r="F2">
        <f>AVERAGEIFS('2025 Coverage Grades by Team'!$C:$C, '2025 Coverage Grades by Team'!$A:$A, B2, '2025 Coverage Grades by Team'!$B:$B, "ED")</f>
        <v>0.13012997961292663</v>
      </c>
      <c r="G2">
        <f>_xlfn.XLOOKUP(B2, '2025 Pass Defense Outcomes'!$B:$B, '2025 Pass Defense Outcomes'!$G:$G)</f>
        <v>0.06</v>
      </c>
    </row>
    <row r="3" spans="1:7" x14ac:dyDescent="0.55000000000000004">
      <c r="A3" t="s">
        <v>4</v>
      </c>
      <c r="B3" s="1" t="s">
        <v>47</v>
      </c>
      <c r="C3">
        <v>0.71924603404798004</v>
      </c>
      <c r="D3">
        <f>AVERAGEIFS('2025 Coverage Grades by Team'!$D:$D, '2025 Coverage Grades by Team'!$A:$A, B3, '2025 Coverage Grades by Team'!$B:$B, "CB")</f>
        <v>-4.8891507089138031E-2</v>
      </c>
      <c r="E3">
        <f>AVERAGEIFS('2025 Coverage Grades by Team'!$D:$D, '2025 Coverage Grades by Team'!$A:$A, B3, '2025 Coverage Grades by Team'!$B:$B, "S")</f>
        <v>-9.4188190996646881E-3</v>
      </c>
      <c r="F3">
        <f>AVERAGEIFS('2025 Coverage Grades by Team'!$C:$C, '2025 Coverage Grades by Team'!$A:$A, B3, '2025 Coverage Grades by Team'!$B:$B, "ED")</f>
        <v>8.5468068718910219E-4</v>
      </c>
      <c r="G3">
        <f>_xlfn.XLOOKUP(B3, '2025 Pass Defense Outcomes'!$B:$B, '2025 Pass Defense Outcomes'!$G:$G)</f>
        <v>0.04</v>
      </c>
    </row>
    <row r="4" spans="1:7" x14ac:dyDescent="0.55000000000000004">
      <c r="A4" t="s">
        <v>5</v>
      </c>
      <c r="B4" s="1" t="s">
        <v>55</v>
      </c>
      <c r="C4">
        <v>0.71329688766170396</v>
      </c>
      <c r="D4">
        <f>AVERAGEIFS('2025 Coverage Grades by Team'!$D:$D, '2025 Coverage Grades by Team'!$A:$A, B4, '2025 Coverage Grades by Team'!$B:$B, "CB")</f>
        <v>-1.0132884979248047E-2</v>
      </c>
      <c r="E4">
        <f>AVERAGEIFS('2025 Coverage Grades by Team'!$D:$D, '2025 Coverage Grades by Team'!$A:$A, B4, '2025 Coverage Grades by Team'!$B:$B, "S")</f>
        <v>-2.6054262649267912E-2</v>
      </c>
      <c r="F4">
        <f>AVERAGEIFS('2025 Coverage Grades by Team'!$C:$C, '2025 Coverage Grades by Team'!$A:$A, B4, '2025 Coverage Grades by Team'!$B:$B, "ED")</f>
        <v>-0.14002172276377678</v>
      </c>
      <c r="G4">
        <f>_xlfn.XLOOKUP(B4, '2025 Pass Defense Outcomes'!$B:$B, '2025 Pass Defense Outcomes'!$G:$G)</f>
        <v>-0.08</v>
      </c>
    </row>
    <row r="5" spans="1:7" x14ac:dyDescent="0.55000000000000004">
      <c r="A5" t="s">
        <v>6</v>
      </c>
      <c r="B5" s="1" t="s">
        <v>75</v>
      </c>
      <c r="C5">
        <v>0.77546661683544404</v>
      </c>
      <c r="D5">
        <f>AVERAGEIFS('2025 Coverage Grades by Team'!$D:$D, '2025 Coverage Grades by Team'!$A:$A, B5, '2025 Coverage Grades by Team'!$B:$B, "CB")</f>
        <v>-1.6146072341750067E-2</v>
      </c>
      <c r="E5">
        <f>AVERAGEIFS('2025 Coverage Grades by Team'!$D:$D, '2025 Coverage Grades by Team'!$A:$A, B5, '2025 Coverage Grades by Team'!$B:$B, "S")</f>
        <v>-2.0308724294106167E-2</v>
      </c>
      <c r="F5">
        <f>AVERAGEIFS('2025 Coverage Grades by Team'!$C:$C, '2025 Coverage Grades by Team'!$A:$A, B5, '2025 Coverage Grades by Team'!$B:$B, "ED")</f>
        <v>6.7445514257997274E-2</v>
      </c>
      <c r="G5">
        <f>_xlfn.XLOOKUP(B5, '2025 Pass Defense Outcomes'!$B:$B, '2025 Pass Defense Outcomes'!$G:$G)</f>
        <v>-0.12</v>
      </c>
    </row>
    <row r="6" spans="1:7" x14ac:dyDescent="0.55000000000000004">
      <c r="A6" t="s">
        <v>7</v>
      </c>
      <c r="B6" s="1" t="s">
        <v>50</v>
      </c>
      <c r="C6">
        <v>0.75847550088056603</v>
      </c>
      <c r="D6">
        <f>AVERAGEIFS('2025 Coverage Grades by Team'!$D:$D, '2025 Coverage Grades by Team'!$A:$A, B6, '2025 Coverage Grades by Team'!$B:$B, "CB")</f>
        <v>-6.9098415225744253E-2</v>
      </c>
      <c r="E6">
        <f>AVERAGEIFS('2025 Coverage Grades by Team'!$D:$D, '2025 Coverage Grades by Team'!$A:$A, B6, '2025 Coverage Grades by Team'!$B:$B, "S")</f>
        <v>-1.7570171132683755E-2</v>
      </c>
      <c r="F6">
        <f>AVERAGEIFS('2025 Coverage Grades by Team'!$C:$C, '2025 Coverage Grades by Team'!$A:$A, B6, '2025 Coverage Grades by Team'!$B:$B, "ED")</f>
        <v>-8.6313901469111443E-2</v>
      </c>
      <c r="G6">
        <f>_xlfn.XLOOKUP(B6, '2025 Pass Defense Outcomes'!$B:$B, '2025 Pass Defense Outcomes'!$G:$G)</f>
        <v>-0.05</v>
      </c>
    </row>
    <row r="7" spans="1:7" x14ac:dyDescent="0.55000000000000004">
      <c r="A7" t="s">
        <v>8</v>
      </c>
      <c r="B7" s="1" t="s">
        <v>62</v>
      </c>
      <c r="C7">
        <v>0.792603187882302</v>
      </c>
      <c r="D7">
        <f>AVERAGEIFS('2025 Coverage Grades by Team'!$D:$D, '2025 Coverage Grades by Team'!$A:$A, B7, '2025 Coverage Grades by Team'!$B:$B, "CB")</f>
        <v>-0.10978096537292004</v>
      </c>
      <c r="E7">
        <f>AVERAGEIFS('2025 Coverage Grades by Team'!$D:$D, '2025 Coverage Grades by Team'!$A:$A, B7, '2025 Coverage Grades by Team'!$B:$B, "S")</f>
        <v>-8.6876112036406994E-2</v>
      </c>
      <c r="F7">
        <f>AVERAGEIFS('2025 Coverage Grades by Team'!$C:$C, '2025 Coverage Grades by Team'!$A:$A, B7, '2025 Coverage Grades by Team'!$B:$B, "ED")</f>
        <v>3.3524279881800921E-2</v>
      </c>
      <c r="G7">
        <f>_xlfn.XLOOKUP(B7, '2025 Pass Defense Outcomes'!$B:$B, '2025 Pass Defense Outcomes'!$G:$G)</f>
        <v>-0.06</v>
      </c>
    </row>
    <row r="8" spans="1:7" x14ac:dyDescent="0.55000000000000004">
      <c r="A8" t="s">
        <v>9</v>
      </c>
      <c r="B8" s="1" t="s">
        <v>57</v>
      </c>
      <c r="C8">
        <v>0.78050631473724197</v>
      </c>
      <c r="D8">
        <f>AVERAGEIFS('2025 Coverage Grades by Team'!$D:$D, '2025 Coverage Grades by Team'!$A:$A, B8, '2025 Coverage Grades by Team'!$B:$B, "CB")</f>
        <v>-3.8845832187992833E-2</v>
      </c>
      <c r="E8">
        <f>AVERAGEIFS('2025 Coverage Grades by Team'!$D:$D, '2025 Coverage Grades by Team'!$A:$A, B8, '2025 Coverage Grades by Team'!$B:$B, "S")</f>
        <v>-2.3802309483289718E-2</v>
      </c>
      <c r="F8">
        <f>AVERAGEIFS('2025 Coverage Grades by Team'!$C:$C, '2025 Coverage Grades by Team'!$A:$A, B8, '2025 Coverage Grades by Team'!$B:$B, "ED")</f>
        <v>3.7293378873437179E-2</v>
      </c>
      <c r="G8">
        <f>_xlfn.XLOOKUP(B8, '2025 Pass Defense Outcomes'!$B:$B, '2025 Pass Defense Outcomes'!$G:$G)</f>
        <v>-0.08</v>
      </c>
    </row>
    <row r="9" spans="1:7" x14ac:dyDescent="0.55000000000000004">
      <c r="A9" t="s">
        <v>10</v>
      </c>
      <c r="B9" s="1" t="s">
        <v>49</v>
      </c>
      <c r="C9">
        <v>0.78759638722682601</v>
      </c>
      <c r="D9">
        <f>AVERAGEIFS('2025 Coverage Grades by Team'!$D:$D, '2025 Coverage Grades by Team'!$A:$A, B9, '2025 Coverage Grades by Team'!$B:$B, "CB")</f>
        <v>-3.6379596311599018E-2</v>
      </c>
      <c r="E9">
        <f>AVERAGEIFS('2025 Coverage Grades by Team'!$D:$D, '2025 Coverage Grades by Team'!$A:$A, B9, '2025 Coverage Grades by Team'!$B:$B, "S")</f>
        <v>-4.4820718467235565E-3</v>
      </c>
      <c r="F9">
        <f>AVERAGEIFS('2025 Coverage Grades by Team'!$C:$C, '2025 Coverage Grades by Team'!$A:$A, B9, '2025 Coverage Grades by Team'!$B:$B, "ED")</f>
        <v>-4.1772630624473096E-2</v>
      </c>
      <c r="G9">
        <f>_xlfn.XLOOKUP(B9, '2025 Pass Defense Outcomes'!$B:$B, '2025 Pass Defense Outcomes'!$G:$G)</f>
        <v>0.03</v>
      </c>
    </row>
    <row r="10" spans="1:7" x14ac:dyDescent="0.55000000000000004">
      <c r="A10" t="s">
        <v>11</v>
      </c>
      <c r="B10" s="1" t="s">
        <v>71</v>
      </c>
      <c r="C10">
        <v>0.72151485744934496</v>
      </c>
      <c r="D10">
        <f>AVERAGEIFS('2025 Coverage Grades by Team'!$D:$D, '2025 Coverage Grades by Team'!$A:$A, B10, '2025 Coverage Grades by Team'!$B:$B, "CB")</f>
        <v>-5.262403842061758E-2</v>
      </c>
      <c r="E10">
        <f>AVERAGEIFS('2025 Coverage Grades by Team'!$D:$D, '2025 Coverage Grades by Team'!$A:$A, B10, '2025 Coverage Grades by Team'!$B:$B, "S")</f>
        <v>-0.10701467581093312</v>
      </c>
      <c r="F10">
        <f>AVERAGEIFS('2025 Coverage Grades by Team'!$C:$C, '2025 Coverage Grades by Team'!$A:$A, B10, '2025 Coverage Grades by Team'!$B:$B, "ED")</f>
        <v>0.11127358376979828</v>
      </c>
      <c r="G10">
        <f>_xlfn.XLOOKUP(B10, '2025 Pass Defense Outcomes'!$B:$B, '2025 Pass Defense Outcomes'!$G:$G)</f>
        <v>0.14000000000000001</v>
      </c>
    </row>
    <row r="11" spans="1:7" x14ac:dyDescent="0.55000000000000004">
      <c r="A11" t="s">
        <v>12</v>
      </c>
      <c r="B11" s="1" t="s">
        <v>81</v>
      </c>
      <c r="C11">
        <v>0.76669810679249295</v>
      </c>
      <c r="D11">
        <f>AVERAGEIFS('2025 Coverage Grades by Team'!$D:$D, '2025 Coverage Grades by Team'!$A:$A, B11, '2025 Coverage Grades by Team'!$B:$B, "CB")</f>
        <v>-3.5528071038424966E-2</v>
      </c>
      <c r="E11">
        <f>AVERAGEIFS('2025 Coverage Grades by Team'!$D:$D, '2025 Coverage Grades by Team'!$A:$A, B11, '2025 Coverage Grades by Team'!$B:$B, "S")</f>
        <v>-5.2093008067458868E-2</v>
      </c>
      <c r="F11">
        <f>AVERAGEIFS('2025 Coverage Grades by Team'!$C:$C, '2025 Coverage Grades by Team'!$A:$A, B11, '2025 Coverage Grades by Team'!$B:$B, "ED")</f>
        <v>-0.30558773456141353</v>
      </c>
      <c r="G11">
        <f>_xlfn.XLOOKUP(B11, '2025 Pass Defense Outcomes'!$B:$B, '2025 Pass Defense Outcomes'!$G:$G)</f>
        <v>0.13</v>
      </c>
    </row>
    <row r="12" spans="1:7" x14ac:dyDescent="0.55000000000000004">
      <c r="A12" t="s">
        <v>13</v>
      </c>
      <c r="B12" s="1" t="s">
        <v>66</v>
      </c>
      <c r="C12">
        <v>0.80159560822661102</v>
      </c>
      <c r="D12">
        <f>AVERAGEIFS('2025 Coverage Grades by Team'!$D:$D, '2025 Coverage Grades by Team'!$A:$A, B12, '2025 Coverage Grades by Team'!$B:$B, "CB")</f>
        <v>-1.0858629209299883E-2</v>
      </c>
      <c r="E12">
        <f>AVERAGEIFS('2025 Coverage Grades by Team'!$D:$D, '2025 Coverage Grades by Team'!$A:$A, B12, '2025 Coverage Grades by Team'!$B:$B, "S")</f>
        <v>-2.0927440281957387E-2</v>
      </c>
      <c r="F12">
        <f>AVERAGEIFS('2025 Coverage Grades by Team'!$C:$C, '2025 Coverage Grades by Team'!$A:$A, B12, '2025 Coverage Grades by Team'!$B:$B, "ED")</f>
        <v>-8.94166249781847E-3</v>
      </c>
      <c r="G12">
        <f>_xlfn.XLOOKUP(B12, '2025 Pass Defense Outcomes'!$B:$B, '2025 Pass Defense Outcomes'!$G:$G)</f>
        <v>0.01</v>
      </c>
    </row>
    <row r="13" spans="1:7" x14ac:dyDescent="0.55000000000000004">
      <c r="A13" t="s">
        <v>14</v>
      </c>
      <c r="B13" s="1" t="s">
        <v>54</v>
      </c>
      <c r="C13">
        <v>0.75009528648509005</v>
      </c>
      <c r="D13">
        <f>AVERAGEIFS('2025 Coverage Grades by Team'!$D:$D, '2025 Coverage Grades by Team'!$A:$A, B13, '2025 Coverage Grades by Team'!$B:$B, "CB")</f>
        <v>-4.1676721186377108E-2</v>
      </c>
      <c r="E13">
        <f>AVERAGEIFS('2025 Coverage Grades by Team'!$D:$D, '2025 Coverage Grades by Team'!$A:$A, B13, '2025 Coverage Grades by Team'!$B:$B, "S")</f>
        <v>-3.6885543260723352E-2</v>
      </c>
      <c r="F13">
        <f>AVERAGEIFS('2025 Coverage Grades by Team'!$C:$C, '2025 Coverage Grades by Team'!$A:$A, B13, '2025 Coverage Grades by Team'!$B:$B, "ED")</f>
        <v>1.0415466129779815E-2</v>
      </c>
      <c r="G13">
        <f>_xlfn.XLOOKUP(B13, '2025 Pass Defense Outcomes'!$B:$B, '2025 Pass Defense Outcomes'!$G:$G)</f>
        <v>-0.09</v>
      </c>
    </row>
    <row r="14" spans="1:7" x14ac:dyDescent="0.55000000000000004">
      <c r="A14" t="s">
        <v>15</v>
      </c>
      <c r="B14" s="1" t="s">
        <v>63</v>
      </c>
      <c r="C14">
        <v>0.781435995863069</v>
      </c>
      <c r="D14">
        <f>AVERAGEIFS('2025 Coverage Grades by Team'!$D:$D, '2025 Coverage Grades by Team'!$A:$A, B14, '2025 Coverage Grades by Team'!$B:$B, "CB")</f>
        <v>-2.6712634201560701E-2</v>
      </c>
      <c r="E14">
        <f>AVERAGEIFS('2025 Coverage Grades by Team'!$D:$D, '2025 Coverage Grades by Team'!$A:$A, B14, '2025 Coverage Grades by Team'!$B:$B, "S")</f>
        <v>-4.2999632284045221E-2</v>
      </c>
      <c r="F14">
        <f>AVERAGEIFS('2025 Coverage Grades by Team'!$C:$C, '2025 Coverage Grades by Team'!$A:$A, B14, '2025 Coverage Grades by Team'!$B:$B, "ED")</f>
        <v>-0.27208397239446641</v>
      </c>
      <c r="G14">
        <f>_xlfn.XLOOKUP(B14, '2025 Pass Defense Outcomes'!$B:$B, '2025 Pass Defense Outcomes'!$G:$G)</f>
        <v>0</v>
      </c>
    </row>
    <row r="15" spans="1:7" x14ac:dyDescent="0.55000000000000004">
      <c r="A15" t="s">
        <v>16</v>
      </c>
      <c r="B15" s="1" t="s">
        <v>72</v>
      </c>
      <c r="C15">
        <v>0.66426062451059897</v>
      </c>
      <c r="D15">
        <f>AVERAGEIFS('2025 Coverage Grades by Team'!$D:$D, '2025 Coverage Grades by Team'!$A:$A, B15, '2025 Coverage Grades by Team'!$B:$B, "CB")</f>
        <v>-4.6064928732812406E-2</v>
      </c>
      <c r="E15">
        <f>AVERAGEIFS('2025 Coverage Grades by Team'!$D:$D, '2025 Coverage Grades by Team'!$A:$A, B15, '2025 Coverage Grades by Team'!$B:$B, "S")</f>
        <v>-8.8322551921010017E-2</v>
      </c>
      <c r="F15">
        <f>AVERAGEIFS('2025 Coverage Grades by Team'!$C:$C, '2025 Coverage Grades by Team'!$A:$A, B15, '2025 Coverage Grades by Team'!$B:$B, "ED")</f>
        <v>1.0235467925667763E-2</v>
      </c>
      <c r="G15">
        <f>_xlfn.XLOOKUP(B15, '2025 Pass Defense Outcomes'!$B:$B, '2025 Pass Defense Outcomes'!$G:$G)</f>
        <v>0.1</v>
      </c>
    </row>
    <row r="16" spans="1:7" x14ac:dyDescent="0.55000000000000004">
      <c r="A16" t="s">
        <v>17</v>
      </c>
      <c r="B16" s="1" t="s">
        <v>67</v>
      </c>
      <c r="C16">
        <v>0.79737682714615898</v>
      </c>
      <c r="D16">
        <f>AVERAGEIFS('2025 Coverage Grades by Team'!$D:$D, '2025 Coverage Grades by Team'!$A:$A, B16, '2025 Coverage Grades by Team'!$B:$B, "CB")</f>
        <v>-5.2134557953104378E-2</v>
      </c>
      <c r="E16">
        <f>AVERAGEIFS('2025 Coverage Grades by Team'!$D:$D, '2025 Coverage Grades by Team'!$A:$A, B16, '2025 Coverage Grades by Team'!$B:$B, "S")</f>
        <v>-5.194035110374292E-2</v>
      </c>
      <c r="F16">
        <f>AVERAGEIFS('2025 Coverage Grades by Team'!$C:$C, '2025 Coverage Grades by Team'!$A:$A, B16, '2025 Coverage Grades by Team'!$B:$B, "ED")</f>
        <v>-1.4867182976255814E-2</v>
      </c>
      <c r="G16">
        <f>_xlfn.XLOOKUP(B16, '2025 Pass Defense Outcomes'!$B:$B, '2025 Pass Defense Outcomes'!$G:$G)</f>
        <v>-0.02</v>
      </c>
    </row>
    <row r="17" spans="1:7" x14ac:dyDescent="0.55000000000000004">
      <c r="A17" t="s">
        <v>18</v>
      </c>
      <c r="B17" s="1" t="s">
        <v>61</v>
      </c>
      <c r="C17">
        <v>0.72136430343028402</v>
      </c>
      <c r="D17">
        <f>AVERAGEIFS('2025 Coverage Grades by Team'!$D:$D, '2025 Coverage Grades by Team'!$A:$A, B17, '2025 Coverage Grades by Team'!$B:$B, "CB")</f>
        <v>-3.7803699262440205E-2</v>
      </c>
      <c r="E17">
        <f>AVERAGEIFS('2025 Coverage Grades by Team'!$D:$D, '2025 Coverage Grades by Team'!$A:$A, B17, '2025 Coverage Grades by Team'!$B:$B, "S")</f>
        <v>-3.5259418965627752E-2</v>
      </c>
      <c r="F17">
        <f>AVERAGEIFS('2025 Coverage Grades by Team'!$C:$C, '2025 Coverage Grades by Team'!$A:$A, B17, '2025 Coverage Grades by Team'!$B:$B, "ED")</f>
        <v>-2.5639325380325317E-2</v>
      </c>
      <c r="G17">
        <f>_xlfn.XLOOKUP(B17, '2025 Pass Defense Outcomes'!$B:$B, '2025 Pass Defense Outcomes'!$G:$G)</f>
        <v>-0.18</v>
      </c>
    </row>
    <row r="18" spans="1:7" x14ac:dyDescent="0.55000000000000004">
      <c r="A18" t="s">
        <v>19</v>
      </c>
      <c r="B18" s="1" t="s">
        <v>77</v>
      </c>
      <c r="C18">
        <v>0.70899832887133596</v>
      </c>
      <c r="D18">
        <f>AVERAGEIFS('2025 Coverage Grades by Team'!$D:$D, '2025 Coverage Grades by Team'!$A:$A, B18, '2025 Coverage Grades by Team'!$B:$B, "CB")</f>
        <v>-0.12333886977285147</v>
      </c>
      <c r="E18">
        <f>AVERAGEIFS('2025 Coverage Grades by Team'!$D:$D, '2025 Coverage Grades by Team'!$A:$A, B18, '2025 Coverage Grades by Team'!$B:$B, "S")</f>
        <v>-6.3890044887860613E-3</v>
      </c>
      <c r="F18">
        <f>AVERAGEIFS('2025 Coverage Grades by Team'!$C:$C, '2025 Coverage Grades by Team'!$A:$A, B18, '2025 Coverage Grades by Team'!$B:$B, "ED")</f>
        <v>0.15290488600730895</v>
      </c>
      <c r="G18">
        <f>_xlfn.XLOOKUP(B18, '2025 Pass Defense Outcomes'!$B:$B, '2025 Pass Defense Outcomes'!$G:$G)</f>
        <v>-0.05</v>
      </c>
    </row>
    <row r="19" spans="1:7" x14ac:dyDescent="0.55000000000000004">
      <c r="A19" t="s">
        <v>20</v>
      </c>
      <c r="B19" s="1" t="s">
        <v>80</v>
      </c>
      <c r="C19">
        <v>0.71745382033063398</v>
      </c>
      <c r="D19">
        <f>AVERAGEIFS('2025 Coverage Grades by Team'!$D:$D, '2025 Coverage Grades by Team'!$A:$A, B19, '2025 Coverage Grades by Team'!$B:$B, "CB")</f>
        <v>-4.3946689739823339E-2</v>
      </c>
      <c r="E19">
        <f>AVERAGEIFS('2025 Coverage Grades by Team'!$D:$D, '2025 Coverage Grades by Team'!$A:$A, B19, '2025 Coverage Grades by Team'!$B:$B, "S")</f>
        <v>-2.8512378223240376E-2</v>
      </c>
      <c r="F19">
        <f>AVERAGEIFS('2025 Coverage Grades by Team'!$C:$C, '2025 Coverage Grades by Team'!$A:$A, B19, '2025 Coverage Grades by Team'!$B:$B, "ED")</f>
        <v>-1.7890978977084158E-2</v>
      </c>
      <c r="G19">
        <f>_xlfn.XLOOKUP(B19, '2025 Pass Defense Outcomes'!$B:$B, '2025 Pass Defense Outcomes'!$G:$G)</f>
        <v>0.02</v>
      </c>
    </row>
    <row r="20" spans="1:7" x14ac:dyDescent="0.55000000000000004">
      <c r="A20" t="s">
        <v>21</v>
      </c>
      <c r="B20" s="1" t="s">
        <v>76</v>
      </c>
      <c r="C20">
        <v>0.76554520690051797</v>
      </c>
      <c r="D20">
        <f>AVERAGEIFS('2025 Coverage Grades by Team'!$D:$D, '2025 Coverage Grades by Team'!$A:$A, B20, '2025 Coverage Grades by Team'!$B:$B, "CB")</f>
        <v>-5.4666628562180061E-2</v>
      </c>
      <c r="E20">
        <f>AVERAGEIFS('2025 Coverage Grades by Team'!$D:$D, '2025 Coverage Grades by Team'!$A:$A, B20, '2025 Coverage Grades by Team'!$B:$B, "S")</f>
        <v>4.0089538941780724E-2</v>
      </c>
      <c r="F20">
        <f>AVERAGEIFS('2025 Coverage Grades by Team'!$C:$C, '2025 Coverage Grades by Team'!$A:$A, B20, '2025 Coverage Grades by Team'!$B:$B, "ED")</f>
        <v>-0.30256308317184449</v>
      </c>
      <c r="G20">
        <f>_xlfn.XLOOKUP(B20, '2025 Pass Defense Outcomes'!$B:$B, '2025 Pass Defense Outcomes'!$G:$G)</f>
        <v>0.19</v>
      </c>
    </row>
    <row r="21" spans="1:7" x14ac:dyDescent="0.55000000000000004">
      <c r="A21" t="s">
        <v>22</v>
      </c>
      <c r="B21" s="1" t="s">
        <v>74</v>
      </c>
      <c r="C21">
        <v>0.72136329028701396</v>
      </c>
      <c r="D21">
        <f>AVERAGEIFS('2025 Coverage Grades by Team'!$D:$D, '2025 Coverage Grades by Team'!$A:$A, B21, '2025 Coverage Grades by Team'!$B:$B, "CB")</f>
        <v>-3.3089952543377876E-2</v>
      </c>
      <c r="E21">
        <f>AVERAGEIFS('2025 Coverage Grades by Team'!$D:$D, '2025 Coverage Grades by Team'!$A:$A, B21, '2025 Coverage Grades by Team'!$B:$B, "S")</f>
        <v>-6.7579765493671104E-2</v>
      </c>
      <c r="F21">
        <f>AVERAGEIFS('2025 Coverage Grades by Team'!$C:$C, '2025 Coverage Grades by Team'!$A:$A, B21, '2025 Coverage Grades by Team'!$B:$B, "ED")</f>
        <v>-0.17095922231674193</v>
      </c>
      <c r="G21">
        <f>_xlfn.XLOOKUP(B21, '2025 Pass Defense Outcomes'!$B:$B, '2025 Pass Defense Outcomes'!$G:$G)</f>
        <v>0.01</v>
      </c>
    </row>
    <row r="22" spans="1:7" x14ac:dyDescent="0.55000000000000004">
      <c r="A22" t="s">
        <v>23</v>
      </c>
      <c r="B22" s="1" t="s">
        <v>52</v>
      </c>
      <c r="C22">
        <v>0.7260609979239</v>
      </c>
      <c r="D22">
        <f>AVERAGEIFS('2025 Coverage Grades by Team'!$D:$D, '2025 Coverage Grades by Team'!$A:$A, B22, '2025 Coverage Grades by Team'!$B:$B, "CB")</f>
        <v>-1.9467481598258018E-2</v>
      </c>
      <c r="E22">
        <f>AVERAGEIFS('2025 Coverage Grades by Team'!$D:$D, '2025 Coverage Grades by Team'!$A:$A, B22, '2025 Coverage Grades by Team'!$B:$B, "S")</f>
        <v>-5.3034652024507523E-2</v>
      </c>
      <c r="F22">
        <f>AVERAGEIFS('2025 Coverage Grades by Team'!$C:$C, '2025 Coverage Grades by Team'!$A:$A, B22, '2025 Coverage Grades by Team'!$B:$B, "ED")</f>
        <v>2.0815250230953097E-2</v>
      </c>
      <c r="G22">
        <f>_xlfn.XLOOKUP(B22, '2025 Pass Defense Outcomes'!$B:$B, '2025 Pass Defense Outcomes'!$G:$G)</f>
        <v>0.01</v>
      </c>
    </row>
    <row r="23" spans="1:7" x14ac:dyDescent="0.55000000000000004">
      <c r="A23" t="s">
        <v>24</v>
      </c>
      <c r="B23" s="1" t="s">
        <v>64</v>
      </c>
      <c r="C23">
        <v>0.83660247021999801</v>
      </c>
      <c r="D23">
        <f>AVERAGEIFS('2025 Coverage Grades by Team'!$D:$D, '2025 Coverage Grades by Team'!$A:$A, B23, '2025 Coverage Grades by Team'!$B:$B, "CB")</f>
        <v>-3.8105048984289167E-2</v>
      </c>
      <c r="E23">
        <f>AVERAGEIFS('2025 Coverage Grades by Team'!$D:$D, '2025 Coverage Grades by Team'!$A:$A, B23, '2025 Coverage Grades by Team'!$B:$B, "S")</f>
        <v>-2.0946413837373258E-2</v>
      </c>
      <c r="F23">
        <f>AVERAGEIFS('2025 Coverage Grades by Team'!$C:$C, '2025 Coverage Grades by Team'!$A:$A, B23, '2025 Coverage Grades by Team'!$B:$B, "ED")</f>
        <v>5.2810994442552328E-2</v>
      </c>
      <c r="G23">
        <f>_xlfn.XLOOKUP(B23, '2025 Pass Defense Outcomes'!$B:$B, '2025 Pass Defense Outcomes'!$G:$G)</f>
        <v>-0.09</v>
      </c>
    </row>
    <row r="24" spans="1:7" x14ac:dyDescent="0.55000000000000004">
      <c r="A24" t="s">
        <v>25</v>
      </c>
      <c r="B24" s="1" t="s">
        <v>68</v>
      </c>
      <c r="C24">
        <v>0.73492704408320997</v>
      </c>
      <c r="D24">
        <f>AVERAGEIFS('2025 Coverage Grades by Team'!$D:$D, '2025 Coverage Grades by Team'!$A:$A, B24, '2025 Coverage Grades by Team'!$B:$B, "CB")</f>
        <v>-5.3615112478534378E-2</v>
      </c>
      <c r="E24">
        <f>AVERAGEIFS('2025 Coverage Grades by Team'!$D:$D, '2025 Coverage Grades by Team'!$A:$A, B24, '2025 Coverage Grades by Team'!$B:$B, "S")</f>
        <v>-3.1446904642507434E-2</v>
      </c>
      <c r="F24">
        <f>AVERAGEIFS('2025 Coverage Grades by Team'!$C:$C, '2025 Coverage Grades by Team'!$A:$A, B24, '2025 Coverage Grades by Team'!$B:$B, "ED")</f>
        <v>-3.8204052252694964E-2</v>
      </c>
      <c r="G24">
        <f>_xlfn.XLOOKUP(B24, '2025 Pass Defense Outcomes'!$B:$B, '2025 Pass Defense Outcomes'!$G:$G)</f>
        <v>0.15</v>
      </c>
    </row>
    <row r="25" spans="1:7" x14ac:dyDescent="0.55000000000000004">
      <c r="A25" t="s">
        <v>26</v>
      </c>
      <c r="B25" s="1" t="s">
        <v>70</v>
      </c>
      <c r="C25">
        <v>0.68972809435386895</v>
      </c>
      <c r="D25">
        <f>AVERAGEIFS('2025 Coverage Grades by Team'!$D:$D, '2025 Coverage Grades by Team'!$A:$A, B25, '2025 Coverage Grades by Team'!$B:$B, "CB")</f>
        <v>-5.1160684476296105E-2</v>
      </c>
      <c r="E25">
        <f>AVERAGEIFS('2025 Coverage Grades by Team'!$D:$D, '2025 Coverage Grades by Team'!$A:$A, B25, '2025 Coverage Grades by Team'!$B:$B, "S")</f>
        <v>-1.9074921682476997E-2</v>
      </c>
      <c r="F25">
        <f>AVERAGEIFS('2025 Coverage Grades by Team'!$C:$C, '2025 Coverage Grades by Team'!$A:$A, B25, '2025 Coverage Grades by Team'!$B:$B, "ED")</f>
        <v>5.8220104624827705E-2</v>
      </c>
      <c r="G25">
        <f>_xlfn.XLOOKUP(B25, '2025 Pass Defense Outcomes'!$B:$B, '2025 Pass Defense Outcomes'!$G:$G)</f>
        <v>-0.08</v>
      </c>
    </row>
    <row r="26" spans="1:7" x14ac:dyDescent="0.55000000000000004">
      <c r="A26" t="s">
        <v>27</v>
      </c>
      <c r="B26" s="1" t="s">
        <v>73</v>
      </c>
      <c r="C26">
        <v>0.705830350102163</v>
      </c>
      <c r="D26">
        <f>AVERAGEIFS('2025 Coverage Grades by Team'!$D:$D, '2025 Coverage Grades by Team'!$A:$A, B26, '2025 Coverage Grades by Team'!$B:$B, "CB")</f>
        <v>-3.3207863569259644E-2</v>
      </c>
      <c r="E26">
        <f>AVERAGEIFS('2025 Coverage Grades by Team'!$D:$D, '2025 Coverage Grades by Team'!$A:$A, B26, '2025 Coverage Grades by Team'!$B:$B, "S")</f>
        <v>-7.646216452121735E-3</v>
      </c>
      <c r="F26">
        <f>AVERAGEIFS('2025 Coverage Grades by Team'!$C:$C, '2025 Coverage Grades by Team'!$A:$A, B26, '2025 Coverage Grades by Team'!$B:$B, "ED")</f>
        <v>-8.5658249503467232E-2</v>
      </c>
      <c r="G26">
        <f>_xlfn.XLOOKUP(B26, '2025 Pass Defense Outcomes'!$B:$B, '2025 Pass Defense Outcomes'!$G:$G)</f>
        <v>0.04</v>
      </c>
    </row>
    <row r="27" spans="1:7" x14ac:dyDescent="0.55000000000000004">
      <c r="A27" t="s">
        <v>28</v>
      </c>
      <c r="B27" s="1" t="s">
        <v>56</v>
      </c>
      <c r="C27">
        <v>0.72518541076218601</v>
      </c>
      <c r="D27">
        <f>AVERAGEIFS('2025 Coverage Grades by Team'!$D:$D, '2025 Coverage Grades by Team'!$A:$A, B27, '2025 Coverage Grades by Team'!$B:$B, "CB")</f>
        <v>-4.8977921095987163E-2</v>
      </c>
      <c r="E27">
        <f>AVERAGEIFS('2025 Coverage Grades by Team'!$D:$D, '2025 Coverage Grades by Team'!$A:$A, B27, '2025 Coverage Grades by Team'!$B:$B, "S")</f>
        <v>-0.10040856897830963</v>
      </c>
      <c r="F27">
        <f>AVERAGEIFS('2025 Coverage Grades by Team'!$C:$C, '2025 Coverage Grades by Team'!$A:$A, B27, '2025 Coverage Grades by Team'!$B:$B, "ED")</f>
        <v>0.13384155929088593</v>
      </c>
      <c r="G27">
        <f>_xlfn.XLOOKUP(B27, '2025 Pass Defense Outcomes'!$B:$B, '2025 Pass Defense Outcomes'!$G:$G)</f>
        <v>0.15</v>
      </c>
    </row>
    <row r="28" spans="1:7" x14ac:dyDescent="0.55000000000000004">
      <c r="A28" t="s">
        <v>29</v>
      </c>
      <c r="B28" s="1" t="s">
        <v>65</v>
      </c>
      <c r="C28">
        <v>0.68000877907420598</v>
      </c>
      <c r="D28">
        <f>AVERAGEIFS('2025 Coverage Grades by Team'!$D:$D, '2025 Coverage Grades by Team'!$A:$A, B28, '2025 Coverage Grades by Team'!$B:$B, "CB")</f>
        <v>-2.4613795003720691E-2</v>
      </c>
      <c r="E28">
        <f>AVERAGEIFS('2025 Coverage Grades by Team'!$D:$D, '2025 Coverage Grades by Team'!$A:$A, B28, '2025 Coverage Grades by Team'!$B:$B, "S")</f>
        <v>-0.17864442430436611</v>
      </c>
      <c r="F28">
        <f>AVERAGEIFS('2025 Coverage Grades by Team'!$C:$C, '2025 Coverage Grades by Team'!$A:$A, B28, '2025 Coverage Grades by Team'!$B:$B, "ED")</f>
        <v>6.0433743211130299E-2</v>
      </c>
      <c r="G28">
        <f>_xlfn.XLOOKUP(B28, '2025 Pass Defense Outcomes'!$B:$B, '2025 Pass Defense Outcomes'!$G:$G)</f>
        <v>-0.05</v>
      </c>
    </row>
    <row r="29" spans="1:7" x14ac:dyDescent="0.55000000000000004">
      <c r="A29" t="s">
        <v>30</v>
      </c>
      <c r="B29" s="1" t="s">
        <v>58</v>
      </c>
      <c r="C29">
        <v>0.71971787070965998</v>
      </c>
      <c r="D29">
        <f>AVERAGEIFS('2025 Coverage Grades by Team'!$D:$D, '2025 Coverage Grades by Team'!$A:$A, B29, '2025 Coverage Grades by Team'!$B:$B, "CB")</f>
        <v>-3.4063696302473544E-2</v>
      </c>
      <c r="E29">
        <f>AVERAGEIFS('2025 Coverage Grades by Team'!$D:$D, '2025 Coverage Grades by Team'!$A:$A, B29, '2025 Coverage Grades by Team'!$B:$B, "S")</f>
        <v>-1.8620431132148951E-2</v>
      </c>
      <c r="F29">
        <f>AVERAGEIFS('2025 Coverage Grades by Team'!$C:$C, '2025 Coverage Grades by Team'!$A:$A, B29, '2025 Coverage Grades by Team'!$B:$B, "ED")</f>
        <v>-6.4449931184450788E-3</v>
      </c>
      <c r="G29">
        <f>_xlfn.XLOOKUP(B29, '2025 Pass Defense Outcomes'!$B:$B, '2025 Pass Defense Outcomes'!$G:$G)</f>
        <v>0.05</v>
      </c>
    </row>
    <row r="30" spans="1:7" x14ac:dyDescent="0.55000000000000004">
      <c r="A30" t="s">
        <v>31</v>
      </c>
      <c r="B30" s="1" t="s">
        <v>78</v>
      </c>
      <c r="C30">
        <v>0.66745249231337</v>
      </c>
      <c r="D30">
        <f>AVERAGEIFS('2025 Coverage Grades by Team'!$D:$D, '2025 Coverage Grades by Team'!$A:$A, B30, '2025 Coverage Grades by Team'!$B:$B, "CB")</f>
        <v>-5.1229386031627654E-2</v>
      </c>
      <c r="E30">
        <f>AVERAGEIFS('2025 Coverage Grades by Team'!$D:$D, '2025 Coverage Grades by Team'!$A:$A, B30, '2025 Coverage Grades by Team'!$B:$B, "S")</f>
        <v>-7.0920792408287525E-2</v>
      </c>
      <c r="F30">
        <f>AVERAGEIFS('2025 Coverage Grades by Team'!$C:$C, '2025 Coverage Grades by Team'!$A:$A, B30, '2025 Coverage Grades by Team'!$B:$B, "ED")</f>
        <v>-9.7952282056212425E-2</v>
      </c>
      <c r="G30">
        <f>_xlfn.XLOOKUP(B30, '2025 Pass Defense Outcomes'!$B:$B, '2025 Pass Defense Outcomes'!$G:$G)</f>
        <v>0.09</v>
      </c>
    </row>
    <row r="31" spans="1:7" x14ac:dyDescent="0.55000000000000004">
      <c r="A31" t="s">
        <v>32</v>
      </c>
      <c r="B31" s="1" t="s">
        <v>69</v>
      </c>
      <c r="C31">
        <v>0.72142450479633502</v>
      </c>
      <c r="D31">
        <f>AVERAGEIFS('2025 Coverage Grades by Team'!$D:$D, '2025 Coverage Grades by Team'!$A:$A, B31, '2025 Coverage Grades by Team'!$B:$B, "CB")</f>
        <v>-2.6523014903068541E-2</v>
      </c>
      <c r="E31">
        <f>AVERAGEIFS('2025 Coverage Grades by Team'!$D:$D, '2025 Coverage Grades by Team'!$A:$A, B31, '2025 Coverage Grades by Team'!$B:$B, "S")</f>
        <v>-4.4646685011684895E-2</v>
      </c>
      <c r="F31">
        <f>AVERAGEIFS('2025 Coverage Grades by Team'!$C:$C, '2025 Coverage Grades by Team'!$A:$A, B31, '2025 Coverage Grades by Team'!$B:$B, "ED")</f>
        <v>-1.8623605902705873E-2</v>
      </c>
      <c r="G31">
        <f>_xlfn.XLOOKUP(B31, '2025 Pass Defense Outcomes'!$B:$B, '2025 Pass Defense Outcomes'!$G:$G)</f>
        <v>0.1</v>
      </c>
    </row>
    <row r="32" spans="1:7" x14ac:dyDescent="0.55000000000000004">
      <c r="A32" t="s">
        <v>33</v>
      </c>
      <c r="B32" s="1" t="s">
        <v>60</v>
      </c>
      <c r="C32">
        <v>0.75312320688726897</v>
      </c>
      <c r="D32">
        <f>AVERAGEIFS('2025 Coverage Grades by Team'!$D:$D, '2025 Coverage Grades by Team'!$A:$A, B32, '2025 Coverage Grades by Team'!$B:$B, "CB")</f>
        <v>-3.1478305254131554E-2</v>
      </c>
      <c r="E32">
        <f>AVERAGEIFS('2025 Coverage Grades by Team'!$D:$D, '2025 Coverage Grades by Team'!$A:$A, B32, '2025 Coverage Grades by Team'!$B:$B, "S")</f>
        <v>-2.9970027972012758E-2</v>
      </c>
      <c r="F32">
        <f>AVERAGEIFS('2025 Coverage Grades by Team'!$C:$C, '2025 Coverage Grades by Team'!$A:$A, B32, '2025 Coverage Grades by Team'!$B:$B, "ED")</f>
        <v>2.0851199592774112E-2</v>
      </c>
      <c r="G32">
        <f>_xlfn.XLOOKUP(B32, '2025 Pass Defense Outcomes'!$B:$B, '2025 Pass Defense Outcomes'!$G:$G)</f>
        <v>-0.1</v>
      </c>
    </row>
    <row r="33" spans="1:7" x14ac:dyDescent="0.55000000000000004">
      <c r="A33" t="s">
        <v>34</v>
      </c>
      <c r="B33" s="1" t="s">
        <v>45</v>
      </c>
      <c r="C33">
        <v>0.73984818365637794</v>
      </c>
      <c r="D33">
        <f>AVERAGEIFS('2025 Coverage Grades by Team'!$D:$D, '2025 Coverage Grades by Team'!$A:$A, B33, '2025 Coverage Grades by Team'!$B:$B, "CB")</f>
        <v>-5.6381290778517723E-2</v>
      </c>
      <c r="E33">
        <f>AVERAGEIFS('2025 Coverage Grades by Team'!$D:$D, '2025 Coverage Grades by Team'!$A:$A, B33, '2025 Coverage Grades by Team'!$B:$B, "S")</f>
        <v>-5.7246092086037002E-2</v>
      </c>
      <c r="F33">
        <f>AVERAGEIFS('2025 Coverage Grades by Team'!$C:$C, '2025 Coverage Grades by Team'!$A:$A, B33, '2025 Coverage Grades by Team'!$B:$B, "ED")</f>
        <v>-3.3833511173725128E-2</v>
      </c>
      <c r="G33">
        <f>_xlfn.XLOOKUP(B33, '2025 Pass Defense Outcomes'!$B:$B, '2025 Pass Defense Outcomes'!$G:$G)</f>
        <v>0.23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DE6A-D02A-4273-A676-A43A4DA90400}">
  <dimension ref="A1:Q33"/>
  <sheetViews>
    <sheetView workbookViewId="0">
      <selection activeCell="G19" sqref="G19"/>
    </sheetView>
  </sheetViews>
  <sheetFormatPr defaultRowHeight="14.4" x14ac:dyDescent="0.55000000000000004"/>
  <cols>
    <col min="1" max="1" width="23.734375" bestFit="1" customWidth="1"/>
    <col min="2" max="2" width="16.7890625" bestFit="1" customWidth="1"/>
    <col min="3" max="3" width="8.62890625" bestFit="1" customWidth="1"/>
    <col min="4" max="4" width="10.3125" bestFit="1" customWidth="1"/>
    <col min="5" max="5" width="10.578125" bestFit="1" customWidth="1"/>
    <col min="6" max="6" width="10.83984375" bestFit="1" customWidth="1"/>
    <col min="7" max="7" width="10.47265625" bestFit="1" customWidth="1"/>
    <col min="8" max="8" width="10.89453125" bestFit="1" customWidth="1"/>
    <col min="9" max="9" width="11.3671875" bestFit="1" customWidth="1"/>
    <col min="10" max="10" width="9.47265625" bestFit="1" customWidth="1"/>
    <col min="11" max="11" width="9.05078125" bestFit="1" customWidth="1"/>
    <col min="12" max="12" width="11.7890625" bestFit="1" customWidth="1"/>
    <col min="13" max="13" width="9.47265625" bestFit="1" customWidth="1"/>
    <col min="14" max="14" width="7.26171875" bestFit="1" customWidth="1"/>
    <col min="15" max="15" width="8.3125" bestFit="1" customWidth="1"/>
    <col min="16" max="16" width="12.15625" bestFit="1" customWidth="1"/>
    <col min="17" max="17" width="7" bestFit="1" customWidth="1"/>
  </cols>
  <sheetData>
    <row r="1" spans="1:17" x14ac:dyDescent="0.55000000000000004">
      <c r="A1" t="s">
        <v>0</v>
      </c>
      <c r="B1" t="s">
        <v>86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</row>
    <row r="2" spans="1:17" x14ac:dyDescent="0.55000000000000004">
      <c r="A2" s="1" t="s">
        <v>105</v>
      </c>
      <c r="B2" s="1" t="s">
        <v>61</v>
      </c>
      <c r="C2">
        <v>2025</v>
      </c>
      <c r="D2">
        <v>-0.14000000000000001</v>
      </c>
      <c r="E2">
        <v>-94.32</v>
      </c>
      <c r="F2">
        <v>0.37830000000000003</v>
      </c>
      <c r="G2">
        <v>-0.18</v>
      </c>
      <c r="H2">
        <v>-0.06</v>
      </c>
      <c r="I2">
        <v>2354</v>
      </c>
      <c r="J2">
        <v>0.58399999999999996</v>
      </c>
      <c r="K2">
        <v>12</v>
      </c>
      <c r="L2">
        <v>1100</v>
      </c>
      <c r="M2">
        <v>9</v>
      </c>
      <c r="N2">
        <v>8.48</v>
      </c>
      <c r="O2">
        <v>7.9299999999999995E-2</v>
      </c>
      <c r="P2">
        <v>4.6600000000000003E-2</v>
      </c>
      <c r="Q2">
        <v>2.8000000000000001E-2</v>
      </c>
    </row>
    <row r="3" spans="1:17" x14ac:dyDescent="0.55000000000000004">
      <c r="A3" s="1" t="s">
        <v>106</v>
      </c>
      <c r="B3" s="1" t="s">
        <v>70</v>
      </c>
      <c r="C3">
        <v>2025</v>
      </c>
      <c r="D3">
        <v>-0.11</v>
      </c>
      <c r="E3">
        <v>-80.67</v>
      </c>
      <c r="F3">
        <v>0.3654</v>
      </c>
      <c r="G3">
        <v>-0.08</v>
      </c>
      <c r="H3">
        <v>-0.15</v>
      </c>
      <c r="I3">
        <v>2327</v>
      </c>
      <c r="J3">
        <v>0.64370000000000005</v>
      </c>
      <c r="K3">
        <v>18</v>
      </c>
      <c r="L3">
        <v>1216</v>
      </c>
      <c r="M3">
        <v>7</v>
      </c>
      <c r="N3">
        <v>8.32</v>
      </c>
      <c r="O3">
        <v>0.1086</v>
      </c>
      <c r="P3">
        <v>4.8000000000000001E-2</v>
      </c>
      <c r="Q3">
        <v>2.2700000000000001E-2</v>
      </c>
    </row>
    <row r="4" spans="1:17" x14ac:dyDescent="0.55000000000000004">
      <c r="A4" s="1" t="s">
        <v>107</v>
      </c>
      <c r="B4" s="1" t="s">
        <v>57</v>
      </c>
      <c r="C4">
        <v>2025</v>
      </c>
      <c r="D4">
        <v>-0.1</v>
      </c>
      <c r="E4">
        <v>-79.48</v>
      </c>
      <c r="F4">
        <v>0.39710000000000001</v>
      </c>
      <c r="G4">
        <v>-0.08</v>
      </c>
      <c r="H4">
        <v>-0.14000000000000001</v>
      </c>
      <c r="I4">
        <v>2699</v>
      </c>
      <c r="J4">
        <v>0.6321</v>
      </c>
      <c r="K4">
        <v>16</v>
      </c>
      <c r="L4">
        <v>1065</v>
      </c>
      <c r="M4">
        <v>7</v>
      </c>
      <c r="N4">
        <v>7.04</v>
      </c>
      <c r="O4">
        <v>7.7399999999999997E-2</v>
      </c>
      <c r="P4">
        <v>6.5799999999999997E-2</v>
      </c>
      <c r="Q4">
        <v>2.5100000000000001E-2</v>
      </c>
    </row>
    <row r="5" spans="1:17" x14ac:dyDescent="0.55000000000000004">
      <c r="A5" s="1" t="s">
        <v>108</v>
      </c>
      <c r="B5" s="1" t="s">
        <v>75</v>
      </c>
      <c r="C5">
        <v>2025</v>
      </c>
      <c r="D5">
        <v>-0.1</v>
      </c>
      <c r="E5">
        <v>-79.42</v>
      </c>
      <c r="F5">
        <v>0.41789999999999999</v>
      </c>
      <c r="G5">
        <v>-0.12</v>
      </c>
      <c r="H5">
        <v>-0.08</v>
      </c>
      <c r="I5">
        <v>2712</v>
      </c>
      <c r="J5">
        <v>0.64349999999999996</v>
      </c>
      <c r="K5">
        <v>16</v>
      </c>
      <c r="L5">
        <v>1294</v>
      </c>
      <c r="M5">
        <v>4</v>
      </c>
      <c r="N5">
        <v>8.0500000000000007</v>
      </c>
      <c r="O5">
        <v>7.0199999999999999E-2</v>
      </c>
      <c r="P5">
        <v>4.0399999999999998E-2</v>
      </c>
      <c r="Q5">
        <v>2.5499999999999998E-2</v>
      </c>
    </row>
    <row r="6" spans="1:17" x14ac:dyDescent="0.55000000000000004">
      <c r="A6" s="1" t="s">
        <v>109</v>
      </c>
      <c r="B6" s="1" t="s">
        <v>60</v>
      </c>
      <c r="C6">
        <v>2025</v>
      </c>
      <c r="D6">
        <v>-0.08</v>
      </c>
      <c r="E6">
        <v>-59.06</v>
      </c>
      <c r="F6">
        <v>0.4194</v>
      </c>
      <c r="G6">
        <v>-0.1</v>
      </c>
      <c r="H6">
        <v>-0.04</v>
      </c>
      <c r="I6">
        <v>2929</v>
      </c>
      <c r="J6">
        <v>0.62860000000000005</v>
      </c>
      <c r="K6">
        <v>22</v>
      </c>
      <c r="L6">
        <v>989</v>
      </c>
      <c r="M6">
        <v>7</v>
      </c>
      <c r="N6">
        <v>8.64</v>
      </c>
      <c r="O6">
        <v>4.7500000000000001E-2</v>
      </c>
      <c r="P6">
        <v>5.1499999999999997E-2</v>
      </c>
      <c r="Q6">
        <v>2.5700000000000001E-2</v>
      </c>
    </row>
    <row r="7" spans="1:17" x14ac:dyDescent="0.55000000000000004">
      <c r="A7" s="1" t="s">
        <v>110</v>
      </c>
      <c r="B7" s="1" t="s">
        <v>64</v>
      </c>
      <c r="C7">
        <v>2025</v>
      </c>
      <c r="D7">
        <v>-0.08</v>
      </c>
      <c r="E7">
        <v>-60.23</v>
      </c>
      <c r="F7">
        <v>0.3735</v>
      </c>
      <c r="G7">
        <v>-0.09</v>
      </c>
      <c r="H7">
        <v>-0.06</v>
      </c>
      <c r="I7">
        <v>2636</v>
      </c>
      <c r="J7">
        <v>0.5776</v>
      </c>
      <c r="K7">
        <v>11</v>
      </c>
      <c r="L7">
        <v>1117</v>
      </c>
      <c r="M7">
        <v>9</v>
      </c>
      <c r="N7">
        <v>9.25</v>
      </c>
      <c r="O7">
        <v>0.10340000000000001</v>
      </c>
      <c r="P7">
        <v>4.6699999999999998E-2</v>
      </c>
      <c r="Q7">
        <v>1.4200000000000001E-2</v>
      </c>
    </row>
    <row r="8" spans="1:17" x14ac:dyDescent="0.55000000000000004">
      <c r="A8" s="1" t="s">
        <v>111</v>
      </c>
      <c r="B8" s="1" t="s">
        <v>55</v>
      </c>
      <c r="C8">
        <v>2025</v>
      </c>
      <c r="D8">
        <v>-0.06</v>
      </c>
      <c r="E8">
        <v>-41.51</v>
      </c>
      <c r="F8">
        <v>0.41649999999999998</v>
      </c>
      <c r="G8">
        <v>-0.08</v>
      </c>
      <c r="H8">
        <v>-0.03</v>
      </c>
      <c r="I8">
        <v>2223</v>
      </c>
      <c r="J8">
        <v>0.61319999999999997</v>
      </c>
      <c r="K8">
        <v>12</v>
      </c>
      <c r="L8">
        <v>1283</v>
      </c>
      <c r="M8">
        <v>14</v>
      </c>
      <c r="N8">
        <v>7.68</v>
      </c>
      <c r="O8">
        <v>8.2699999999999996E-2</v>
      </c>
      <c r="P8">
        <v>6.8099999999999994E-2</v>
      </c>
      <c r="Q8">
        <v>2.6800000000000001E-2</v>
      </c>
    </row>
    <row r="9" spans="1:17" x14ac:dyDescent="0.55000000000000004">
      <c r="A9" s="1" t="s">
        <v>112</v>
      </c>
      <c r="B9" s="1" t="s">
        <v>62</v>
      </c>
      <c r="C9">
        <v>2025</v>
      </c>
      <c r="D9">
        <v>-0.05</v>
      </c>
      <c r="E9">
        <v>-39.15</v>
      </c>
      <c r="F9">
        <v>0.43080000000000002</v>
      </c>
      <c r="G9">
        <v>-0.06</v>
      </c>
      <c r="H9">
        <v>-0.03</v>
      </c>
      <c r="I9">
        <v>2742</v>
      </c>
      <c r="J9">
        <v>0.56420000000000003</v>
      </c>
      <c r="K9">
        <v>12</v>
      </c>
      <c r="L9">
        <v>1547</v>
      </c>
      <c r="M9">
        <v>14</v>
      </c>
      <c r="N9">
        <v>8.9</v>
      </c>
      <c r="O9">
        <v>5.1499999999999997E-2</v>
      </c>
      <c r="P9">
        <v>6.2199999999999998E-2</v>
      </c>
      <c r="Q9">
        <v>1.72E-2</v>
      </c>
    </row>
    <row r="10" spans="1:17" x14ac:dyDescent="0.55000000000000004">
      <c r="A10" s="1" t="s">
        <v>113</v>
      </c>
      <c r="B10" s="1" t="s">
        <v>77</v>
      </c>
      <c r="C10">
        <v>2025</v>
      </c>
      <c r="D10">
        <v>-0.05</v>
      </c>
      <c r="E10">
        <v>-35.380000000000003</v>
      </c>
      <c r="F10">
        <v>0.4476</v>
      </c>
      <c r="G10">
        <v>-0.05</v>
      </c>
      <c r="H10">
        <v>-0.04</v>
      </c>
      <c r="I10">
        <v>2861</v>
      </c>
      <c r="J10">
        <v>0.6643</v>
      </c>
      <c r="K10">
        <v>21</v>
      </c>
      <c r="L10">
        <v>1163</v>
      </c>
      <c r="M10">
        <v>5</v>
      </c>
      <c r="N10">
        <v>7.75</v>
      </c>
      <c r="O10">
        <v>5.74E-2</v>
      </c>
      <c r="P10">
        <v>4.8899999999999999E-2</v>
      </c>
      <c r="Q10">
        <v>1.7000000000000001E-2</v>
      </c>
    </row>
    <row r="11" spans="1:17" x14ac:dyDescent="0.55000000000000004">
      <c r="A11" s="1" t="s">
        <v>114</v>
      </c>
      <c r="B11" s="1" t="s">
        <v>50</v>
      </c>
      <c r="C11">
        <v>2025</v>
      </c>
      <c r="D11">
        <v>-0.05</v>
      </c>
      <c r="E11">
        <v>-33.6</v>
      </c>
      <c r="F11">
        <v>0.42280000000000001</v>
      </c>
      <c r="G11">
        <v>-0.05</v>
      </c>
      <c r="H11">
        <v>-0.04</v>
      </c>
      <c r="I11">
        <v>2355</v>
      </c>
      <c r="J11">
        <v>0.64459999999999995</v>
      </c>
      <c r="K11">
        <v>14</v>
      </c>
      <c r="L11">
        <v>1541</v>
      </c>
      <c r="M11">
        <v>11</v>
      </c>
      <c r="N11">
        <v>7.29</v>
      </c>
      <c r="O11">
        <v>8.0699999999999994E-2</v>
      </c>
      <c r="P11">
        <v>5.4699999999999999E-2</v>
      </c>
      <c r="Q11">
        <v>7.7999999999999996E-3</v>
      </c>
    </row>
    <row r="12" spans="1:17" x14ac:dyDescent="0.55000000000000004">
      <c r="A12" s="1" t="s">
        <v>115</v>
      </c>
      <c r="B12" s="1" t="s">
        <v>67</v>
      </c>
      <c r="C12">
        <v>2025</v>
      </c>
      <c r="D12">
        <v>-0.04</v>
      </c>
      <c r="E12">
        <v>-28.82</v>
      </c>
      <c r="F12">
        <v>0.4496</v>
      </c>
      <c r="G12">
        <v>-0.02</v>
      </c>
      <c r="H12">
        <v>-0.06</v>
      </c>
      <c r="I12">
        <v>3181</v>
      </c>
      <c r="J12">
        <v>0.63890000000000002</v>
      </c>
      <c r="K12">
        <v>16</v>
      </c>
      <c r="L12">
        <v>1179</v>
      </c>
      <c r="M12">
        <v>11</v>
      </c>
      <c r="N12">
        <v>7.93</v>
      </c>
      <c r="O12">
        <v>6.8500000000000005E-2</v>
      </c>
      <c r="P12">
        <v>3.7199999999999997E-2</v>
      </c>
      <c r="Q12">
        <v>2.35E-2</v>
      </c>
    </row>
    <row r="13" spans="1:17" x14ac:dyDescent="0.55000000000000004">
      <c r="A13" s="1" t="s">
        <v>116</v>
      </c>
      <c r="B13" s="1" t="s">
        <v>74</v>
      </c>
      <c r="C13">
        <v>2025</v>
      </c>
      <c r="D13">
        <v>-0.03</v>
      </c>
      <c r="E13">
        <v>-25.46</v>
      </c>
      <c r="F13">
        <v>0.39889999999999998</v>
      </c>
      <c r="G13">
        <v>0.01</v>
      </c>
      <c r="H13">
        <v>-0.1</v>
      </c>
      <c r="I13">
        <v>2754</v>
      </c>
      <c r="J13">
        <v>0.6079</v>
      </c>
      <c r="K13">
        <v>25</v>
      </c>
      <c r="L13">
        <v>1244</v>
      </c>
      <c r="M13">
        <v>8</v>
      </c>
      <c r="N13">
        <v>10.4</v>
      </c>
      <c r="O13">
        <v>7.3599999999999999E-2</v>
      </c>
      <c r="P13">
        <v>5.2900000000000003E-2</v>
      </c>
      <c r="Q13">
        <v>2.07E-2</v>
      </c>
    </row>
    <row r="14" spans="1:17" x14ac:dyDescent="0.55000000000000004">
      <c r="A14" s="1" t="s">
        <v>117</v>
      </c>
      <c r="B14" s="1" t="s">
        <v>47</v>
      </c>
      <c r="C14">
        <v>2025</v>
      </c>
      <c r="D14">
        <v>-0.03</v>
      </c>
      <c r="E14">
        <v>-20.28</v>
      </c>
      <c r="F14">
        <v>0.43719999999999998</v>
      </c>
      <c r="G14">
        <v>0.04</v>
      </c>
      <c r="H14">
        <v>-0.09</v>
      </c>
      <c r="I14">
        <v>2432</v>
      </c>
      <c r="J14">
        <v>0.67269999999999996</v>
      </c>
      <c r="K14">
        <v>20</v>
      </c>
      <c r="L14">
        <v>1523</v>
      </c>
      <c r="M14">
        <v>10</v>
      </c>
      <c r="N14">
        <v>8.52</v>
      </c>
      <c r="O14">
        <v>7.4300000000000005E-2</v>
      </c>
      <c r="P14">
        <v>5.04E-2</v>
      </c>
      <c r="Q14">
        <v>1.8599999999999998E-2</v>
      </c>
    </row>
    <row r="15" spans="1:17" x14ac:dyDescent="0.55000000000000004">
      <c r="A15" s="1" t="s">
        <v>118</v>
      </c>
      <c r="B15" s="1" t="s">
        <v>80</v>
      </c>
      <c r="C15">
        <v>2025</v>
      </c>
      <c r="D15">
        <v>-0.02</v>
      </c>
      <c r="E15">
        <v>-12.83</v>
      </c>
      <c r="F15">
        <v>0.42049999999999998</v>
      </c>
      <c r="G15">
        <v>0.02</v>
      </c>
      <c r="H15">
        <v>-7.0000000000000007E-2</v>
      </c>
      <c r="I15">
        <v>2432</v>
      </c>
      <c r="J15">
        <v>0.6633</v>
      </c>
      <c r="K15">
        <v>15</v>
      </c>
      <c r="L15">
        <v>1180</v>
      </c>
      <c r="M15">
        <v>9</v>
      </c>
      <c r="N15">
        <v>7.24</v>
      </c>
      <c r="O15">
        <v>7.2099999999999997E-2</v>
      </c>
      <c r="P15">
        <v>3.8300000000000001E-2</v>
      </c>
      <c r="Q15">
        <v>1.35E-2</v>
      </c>
    </row>
    <row r="16" spans="1:17" x14ac:dyDescent="0.55000000000000004">
      <c r="A16" s="1" t="s">
        <v>119</v>
      </c>
      <c r="B16" s="1" t="s">
        <v>49</v>
      </c>
      <c r="C16">
        <v>2025</v>
      </c>
      <c r="D16">
        <v>-0.02</v>
      </c>
      <c r="E16">
        <v>-11.15</v>
      </c>
      <c r="F16">
        <v>0.45090000000000002</v>
      </c>
      <c r="G16">
        <v>0.03</v>
      </c>
      <c r="H16">
        <v>-0.09</v>
      </c>
      <c r="I16">
        <v>3186</v>
      </c>
      <c r="J16">
        <v>0.66749999999999998</v>
      </c>
      <c r="K16">
        <v>21</v>
      </c>
      <c r="L16">
        <v>1169</v>
      </c>
      <c r="M16">
        <v>12</v>
      </c>
      <c r="N16">
        <v>8.1199999999999992</v>
      </c>
      <c r="O16">
        <v>6.0400000000000002E-2</v>
      </c>
      <c r="P16">
        <v>7.4999999999999997E-2</v>
      </c>
      <c r="Q16">
        <v>2.29E-2</v>
      </c>
    </row>
    <row r="17" spans="1:17" x14ac:dyDescent="0.55000000000000004">
      <c r="A17" s="1" t="s">
        <v>120</v>
      </c>
      <c r="B17" s="1" t="s">
        <v>54</v>
      </c>
      <c r="C17">
        <v>2025</v>
      </c>
      <c r="D17">
        <v>-0.01</v>
      </c>
      <c r="E17">
        <v>-8.44</v>
      </c>
      <c r="F17">
        <v>0.41830000000000001</v>
      </c>
      <c r="G17">
        <v>-0.09</v>
      </c>
      <c r="H17">
        <v>0.08</v>
      </c>
      <c r="I17">
        <v>2128</v>
      </c>
      <c r="J17">
        <v>0.59509999999999996</v>
      </c>
      <c r="K17">
        <v>12</v>
      </c>
      <c r="L17">
        <v>1696</v>
      </c>
      <c r="M17">
        <v>18</v>
      </c>
      <c r="N17">
        <v>8.2799999999999994</v>
      </c>
      <c r="O17">
        <v>7.1999999999999995E-2</v>
      </c>
      <c r="P17">
        <v>5.8700000000000002E-2</v>
      </c>
      <c r="Q17">
        <v>2.1299999999999999E-2</v>
      </c>
    </row>
    <row r="18" spans="1:17" x14ac:dyDescent="0.55000000000000004">
      <c r="A18" s="1" t="s">
        <v>121</v>
      </c>
      <c r="B18" s="1" t="s">
        <v>65</v>
      </c>
      <c r="C18">
        <v>2025</v>
      </c>
      <c r="D18">
        <v>-0.01</v>
      </c>
      <c r="E18">
        <v>-6.3</v>
      </c>
      <c r="F18">
        <v>0.44869999999999999</v>
      </c>
      <c r="G18">
        <v>-0.05</v>
      </c>
      <c r="H18">
        <v>0.04</v>
      </c>
      <c r="I18">
        <v>2516</v>
      </c>
      <c r="J18">
        <v>0.63990000000000002</v>
      </c>
      <c r="K18">
        <v>18</v>
      </c>
      <c r="L18">
        <v>1574</v>
      </c>
      <c r="M18">
        <v>10</v>
      </c>
      <c r="N18">
        <v>8.48</v>
      </c>
      <c r="O18">
        <v>9.4E-2</v>
      </c>
      <c r="P18">
        <v>7.8E-2</v>
      </c>
      <c r="Q18">
        <v>2.06E-2</v>
      </c>
    </row>
    <row r="19" spans="1:17" x14ac:dyDescent="0.55000000000000004">
      <c r="A19" s="1" t="s">
        <v>122</v>
      </c>
      <c r="B19" s="1" t="s">
        <v>63</v>
      </c>
      <c r="C19">
        <v>2025</v>
      </c>
      <c r="D19">
        <v>0</v>
      </c>
      <c r="E19">
        <v>-3.14</v>
      </c>
      <c r="F19">
        <v>0.46110000000000001</v>
      </c>
      <c r="G19">
        <v>0</v>
      </c>
      <c r="H19">
        <v>-0.01</v>
      </c>
      <c r="I19">
        <v>2824</v>
      </c>
      <c r="J19">
        <v>0.67379999999999995</v>
      </c>
      <c r="K19">
        <v>24</v>
      </c>
      <c r="L19">
        <v>1606</v>
      </c>
      <c r="M19">
        <v>11</v>
      </c>
      <c r="N19">
        <v>8.7200000000000006</v>
      </c>
      <c r="O19">
        <v>5.5599999999999997E-2</v>
      </c>
      <c r="P19">
        <v>4.1099999999999998E-2</v>
      </c>
      <c r="Q19">
        <v>4.1099999999999998E-2</v>
      </c>
    </row>
    <row r="20" spans="1:17" x14ac:dyDescent="0.55000000000000004">
      <c r="A20" s="1" t="s">
        <v>123</v>
      </c>
      <c r="B20" s="1" t="s">
        <v>73</v>
      </c>
      <c r="C20">
        <v>2025</v>
      </c>
      <c r="D20">
        <v>0</v>
      </c>
      <c r="E20">
        <v>-0.13</v>
      </c>
      <c r="F20">
        <v>0.45960000000000001</v>
      </c>
      <c r="G20">
        <v>0.04</v>
      </c>
      <c r="H20">
        <v>-0.06</v>
      </c>
      <c r="I20">
        <v>2802</v>
      </c>
      <c r="J20">
        <v>0.64339999999999997</v>
      </c>
      <c r="K20">
        <v>17</v>
      </c>
      <c r="L20">
        <v>1351</v>
      </c>
      <c r="M20">
        <v>12</v>
      </c>
      <c r="N20">
        <v>8.57</v>
      </c>
      <c r="O20">
        <v>5.4199999999999998E-2</v>
      </c>
      <c r="P20">
        <v>4.0599999999999997E-2</v>
      </c>
      <c r="Q20">
        <v>2.0299999999999999E-2</v>
      </c>
    </row>
    <row r="21" spans="1:17" x14ac:dyDescent="0.55000000000000004">
      <c r="A21" s="1" t="s">
        <v>124</v>
      </c>
      <c r="B21" s="1" t="s">
        <v>66</v>
      </c>
      <c r="C21">
        <v>2025</v>
      </c>
      <c r="D21">
        <v>0</v>
      </c>
      <c r="E21">
        <v>1.17</v>
      </c>
      <c r="F21">
        <v>0.44190000000000002</v>
      </c>
      <c r="G21">
        <v>0.01</v>
      </c>
      <c r="H21">
        <v>-0.01</v>
      </c>
      <c r="I21">
        <v>2559</v>
      </c>
      <c r="J21">
        <v>0.69469999999999998</v>
      </c>
      <c r="K21">
        <v>13</v>
      </c>
      <c r="L21">
        <v>1211</v>
      </c>
      <c r="M21">
        <v>11</v>
      </c>
      <c r="N21">
        <v>6.79</v>
      </c>
      <c r="O21">
        <v>5.3900000000000003E-2</v>
      </c>
      <c r="P21">
        <v>7.1099999999999997E-2</v>
      </c>
      <c r="Q21">
        <v>1.72E-2</v>
      </c>
    </row>
    <row r="22" spans="1:17" x14ac:dyDescent="0.55000000000000004">
      <c r="A22" s="1" t="s">
        <v>125</v>
      </c>
      <c r="B22" s="1" t="s">
        <v>58</v>
      </c>
      <c r="C22">
        <v>2025</v>
      </c>
      <c r="D22">
        <v>0.01</v>
      </c>
      <c r="E22">
        <v>6.95</v>
      </c>
      <c r="F22">
        <v>0.43390000000000001</v>
      </c>
      <c r="G22">
        <v>0.05</v>
      </c>
      <c r="H22">
        <v>-0.05</v>
      </c>
      <c r="I22">
        <v>2924</v>
      </c>
      <c r="J22">
        <v>0.61929999999999996</v>
      </c>
      <c r="K22">
        <v>18</v>
      </c>
      <c r="L22">
        <v>1421</v>
      </c>
      <c r="M22">
        <v>11</v>
      </c>
      <c r="N22">
        <v>8.58</v>
      </c>
      <c r="O22">
        <v>3.9399999999999998E-2</v>
      </c>
      <c r="P22">
        <v>5.6000000000000001E-2</v>
      </c>
      <c r="Q22">
        <v>1.4500000000000001E-2</v>
      </c>
    </row>
    <row r="23" spans="1:17" x14ac:dyDescent="0.55000000000000004">
      <c r="A23" s="1" t="s">
        <v>126</v>
      </c>
      <c r="B23" s="1" t="s">
        <v>72</v>
      </c>
      <c r="C23">
        <v>2025</v>
      </c>
      <c r="D23">
        <v>0.01</v>
      </c>
      <c r="E23">
        <v>8.8800000000000008</v>
      </c>
      <c r="F23">
        <v>0.43980000000000002</v>
      </c>
      <c r="G23">
        <v>0.1</v>
      </c>
      <c r="H23">
        <v>-0.09</v>
      </c>
      <c r="I23">
        <v>2684</v>
      </c>
      <c r="J23">
        <v>0.67200000000000004</v>
      </c>
      <c r="K23">
        <v>19</v>
      </c>
      <c r="L23">
        <v>1329</v>
      </c>
      <c r="M23">
        <v>16</v>
      </c>
      <c r="N23">
        <v>8.1199999999999992</v>
      </c>
      <c r="O23">
        <v>5.5399999999999998E-2</v>
      </c>
      <c r="P23">
        <v>4.82E-2</v>
      </c>
      <c r="Q23">
        <v>1.9300000000000001E-2</v>
      </c>
    </row>
    <row r="24" spans="1:17" x14ac:dyDescent="0.55000000000000004">
      <c r="A24" s="1" t="s">
        <v>127</v>
      </c>
      <c r="B24" s="1" t="s">
        <v>52</v>
      </c>
      <c r="C24">
        <v>2025</v>
      </c>
      <c r="D24">
        <v>0.02</v>
      </c>
      <c r="E24">
        <v>13.35</v>
      </c>
      <c r="F24">
        <v>0.4415</v>
      </c>
      <c r="G24">
        <v>0.01</v>
      </c>
      <c r="H24">
        <v>0.02</v>
      </c>
      <c r="I24">
        <v>3177</v>
      </c>
      <c r="J24">
        <v>0.64400000000000002</v>
      </c>
      <c r="K24">
        <v>20</v>
      </c>
      <c r="L24">
        <v>1412</v>
      </c>
      <c r="M24">
        <v>9</v>
      </c>
      <c r="N24">
        <v>7.07</v>
      </c>
      <c r="O24">
        <v>6.7100000000000007E-2</v>
      </c>
      <c r="P24">
        <v>3.5499999999999997E-2</v>
      </c>
      <c r="Q24">
        <v>1.9699999999999999E-2</v>
      </c>
    </row>
    <row r="25" spans="1:17" x14ac:dyDescent="0.55000000000000004">
      <c r="A25" s="1" t="s">
        <v>128</v>
      </c>
      <c r="B25" s="1" t="s">
        <v>78</v>
      </c>
      <c r="C25">
        <v>2025</v>
      </c>
      <c r="D25">
        <v>0.04</v>
      </c>
      <c r="E25">
        <v>32.21</v>
      </c>
      <c r="F25">
        <v>0.47849999999999998</v>
      </c>
      <c r="G25">
        <v>0.09</v>
      </c>
      <c r="H25">
        <v>-0.04</v>
      </c>
      <c r="I25">
        <v>3135</v>
      </c>
      <c r="J25">
        <v>0.69179999999999997</v>
      </c>
      <c r="K25">
        <v>23</v>
      </c>
      <c r="L25">
        <v>1349</v>
      </c>
      <c r="M25">
        <v>8</v>
      </c>
      <c r="N25">
        <v>8.19</v>
      </c>
      <c r="O25">
        <v>3.2599999999999997E-2</v>
      </c>
      <c r="P25">
        <v>4.8899999999999999E-2</v>
      </c>
      <c r="Q25">
        <v>1.0200000000000001E-2</v>
      </c>
    </row>
    <row r="26" spans="1:17" x14ac:dyDescent="0.55000000000000004">
      <c r="A26" s="1" t="s">
        <v>129</v>
      </c>
      <c r="B26" s="1" t="s">
        <v>69</v>
      </c>
      <c r="C26">
        <v>2025</v>
      </c>
      <c r="D26">
        <v>7.0000000000000007E-2</v>
      </c>
      <c r="E26">
        <v>49.58</v>
      </c>
      <c r="F26">
        <v>0.43290000000000001</v>
      </c>
      <c r="G26">
        <v>0.1</v>
      </c>
      <c r="H26">
        <v>0.01</v>
      </c>
      <c r="I26">
        <v>2890</v>
      </c>
      <c r="J26">
        <v>0.65159999999999996</v>
      </c>
      <c r="K26">
        <v>16</v>
      </c>
      <c r="L26">
        <v>1543</v>
      </c>
      <c r="M26">
        <v>16</v>
      </c>
      <c r="N26">
        <v>8.0500000000000007</v>
      </c>
      <c r="O26">
        <v>4.1399999999999999E-2</v>
      </c>
      <c r="P26">
        <v>4.1399999999999999E-2</v>
      </c>
      <c r="Q26">
        <v>2.76E-2</v>
      </c>
    </row>
    <row r="27" spans="1:17" x14ac:dyDescent="0.55000000000000004">
      <c r="A27" s="1" t="s">
        <v>130</v>
      </c>
      <c r="B27" s="1" t="s">
        <v>71</v>
      </c>
      <c r="C27">
        <v>2025</v>
      </c>
      <c r="D27">
        <v>7.0000000000000007E-2</v>
      </c>
      <c r="E27">
        <v>53.62</v>
      </c>
      <c r="F27">
        <v>0.46820000000000001</v>
      </c>
      <c r="G27">
        <v>0.14000000000000001</v>
      </c>
      <c r="H27">
        <v>-0.01</v>
      </c>
      <c r="I27">
        <v>2654</v>
      </c>
      <c r="J27">
        <v>0.72389999999999999</v>
      </c>
      <c r="K27">
        <v>20</v>
      </c>
      <c r="L27">
        <v>1650</v>
      </c>
      <c r="M27">
        <v>10</v>
      </c>
      <c r="N27">
        <v>7.51</v>
      </c>
      <c r="O27">
        <v>6.13E-2</v>
      </c>
      <c r="P27">
        <v>6.8599999999999994E-2</v>
      </c>
      <c r="Q27">
        <v>9.7999999999999997E-3</v>
      </c>
    </row>
    <row r="28" spans="1:17" x14ac:dyDescent="0.55000000000000004">
      <c r="A28" s="1" t="s">
        <v>131</v>
      </c>
      <c r="B28" s="1" t="s">
        <v>68</v>
      </c>
      <c r="C28">
        <v>2025</v>
      </c>
      <c r="D28">
        <v>0.08</v>
      </c>
      <c r="E28">
        <v>56.63</v>
      </c>
      <c r="F28">
        <v>0.44040000000000001</v>
      </c>
      <c r="G28">
        <v>0.15</v>
      </c>
      <c r="H28">
        <v>-0.02</v>
      </c>
      <c r="I28">
        <v>2832</v>
      </c>
      <c r="J28">
        <v>0.69079999999999997</v>
      </c>
      <c r="K28">
        <v>19</v>
      </c>
      <c r="L28">
        <v>1531</v>
      </c>
      <c r="M28">
        <v>17</v>
      </c>
      <c r="N28">
        <v>7.94</v>
      </c>
      <c r="O28">
        <v>7.2499999999999995E-2</v>
      </c>
      <c r="P28">
        <v>6.0400000000000002E-2</v>
      </c>
      <c r="Q28">
        <v>1.21E-2</v>
      </c>
    </row>
    <row r="29" spans="1:17" x14ac:dyDescent="0.55000000000000004">
      <c r="A29" s="1" t="s">
        <v>132</v>
      </c>
      <c r="B29" s="1" t="s">
        <v>81</v>
      </c>
      <c r="C29">
        <v>2025</v>
      </c>
      <c r="D29">
        <v>0.08</v>
      </c>
      <c r="E29">
        <v>59.58</v>
      </c>
      <c r="F29">
        <v>0.41549999999999998</v>
      </c>
      <c r="G29">
        <v>0.13</v>
      </c>
      <c r="H29">
        <v>0.02</v>
      </c>
      <c r="I29">
        <v>2501</v>
      </c>
      <c r="J29">
        <v>0.63129999999999997</v>
      </c>
      <c r="K29">
        <v>19</v>
      </c>
      <c r="L29">
        <v>1574</v>
      </c>
      <c r="M29">
        <v>14</v>
      </c>
      <c r="N29">
        <v>7.21</v>
      </c>
      <c r="O29">
        <v>5.1499999999999997E-2</v>
      </c>
      <c r="P29">
        <v>7.1099999999999997E-2</v>
      </c>
      <c r="Q29">
        <v>0</v>
      </c>
    </row>
    <row r="30" spans="1:17" x14ac:dyDescent="0.55000000000000004">
      <c r="A30" s="1" t="s">
        <v>133</v>
      </c>
      <c r="B30" s="1" t="s">
        <v>79</v>
      </c>
      <c r="C30">
        <v>2025</v>
      </c>
      <c r="D30">
        <v>0.12</v>
      </c>
      <c r="E30">
        <v>95.83</v>
      </c>
      <c r="F30">
        <v>0.46629999999999999</v>
      </c>
      <c r="G30">
        <v>0.06</v>
      </c>
      <c r="H30">
        <v>0.18</v>
      </c>
      <c r="I30">
        <v>3202</v>
      </c>
      <c r="J30">
        <v>0.65200000000000002</v>
      </c>
      <c r="K30">
        <v>23</v>
      </c>
      <c r="L30">
        <v>2005</v>
      </c>
      <c r="M30">
        <v>17</v>
      </c>
      <c r="N30">
        <v>8.16</v>
      </c>
      <c r="O30">
        <v>5.7200000000000001E-2</v>
      </c>
      <c r="P30">
        <v>4.7300000000000002E-2</v>
      </c>
      <c r="Q30">
        <v>9.9000000000000008E-3</v>
      </c>
    </row>
    <row r="31" spans="1:17" x14ac:dyDescent="0.55000000000000004">
      <c r="A31" s="1" t="s">
        <v>134</v>
      </c>
      <c r="B31" s="1" t="s">
        <v>56</v>
      </c>
      <c r="C31">
        <v>2025</v>
      </c>
      <c r="D31">
        <v>0.12</v>
      </c>
      <c r="E31">
        <v>94.07</v>
      </c>
      <c r="F31">
        <v>0.47770000000000001</v>
      </c>
      <c r="G31">
        <v>0.15</v>
      </c>
      <c r="H31">
        <v>0.08</v>
      </c>
      <c r="I31">
        <v>3234</v>
      </c>
      <c r="J31">
        <v>0.6804</v>
      </c>
      <c r="K31">
        <v>28</v>
      </c>
      <c r="L31">
        <v>1496</v>
      </c>
      <c r="M31">
        <v>13</v>
      </c>
      <c r="N31">
        <v>8.4</v>
      </c>
      <c r="O31">
        <v>6.0199999999999997E-2</v>
      </c>
      <c r="P31">
        <v>5.16E-2</v>
      </c>
      <c r="Q31">
        <v>1.0800000000000001E-2</v>
      </c>
    </row>
    <row r="32" spans="1:17" x14ac:dyDescent="0.55000000000000004">
      <c r="A32" s="1" t="s">
        <v>135</v>
      </c>
      <c r="B32" s="1" t="s">
        <v>45</v>
      </c>
      <c r="C32">
        <v>2025</v>
      </c>
      <c r="D32">
        <v>0.13</v>
      </c>
      <c r="E32">
        <v>99.32</v>
      </c>
      <c r="F32">
        <v>0.4657</v>
      </c>
      <c r="G32">
        <v>0.23</v>
      </c>
      <c r="H32">
        <v>0.01</v>
      </c>
      <c r="I32">
        <v>3229</v>
      </c>
      <c r="J32">
        <v>0.67559999999999998</v>
      </c>
      <c r="K32">
        <v>23</v>
      </c>
      <c r="L32">
        <v>1600</v>
      </c>
      <c r="M32">
        <v>12</v>
      </c>
      <c r="N32">
        <v>7.71</v>
      </c>
      <c r="O32">
        <v>6.25E-2</v>
      </c>
      <c r="P32">
        <v>4.0899999999999999E-2</v>
      </c>
      <c r="Q32">
        <v>1.44E-2</v>
      </c>
    </row>
    <row r="33" spans="1:17" x14ac:dyDescent="0.55000000000000004">
      <c r="A33" s="1" t="s">
        <v>136</v>
      </c>
      <c r="B33" s="1" t="s">
        <v>76</v>
      </c>
      <c r="C33">
        <v>2025</v>
      </c>
      <c r="D33">
        <v>0.15</v>
      </c>
      <c r="E33">
        <v>116.81</v>
      </c>
      <c r="F33">
        <v>0.49230000000000002</v>
      </c>
      <c r="G33">
        <v>0.19</v>
      </c>
      <c r="H33">
        <v>0.09</v>
      </c>
      <c r="I33">
        <v>3191</v>
      </c>
      <c r="J33">
        <v>0.65680000000000005</v>
      </c>
      <c r="K33">
        <v>26</v>
      </c>
      <c r="L33">
        <v>1839</v>
      </c>
      <c r="M33">
        <v>14</v>
      </c>
      <c r="N33">
        <v>7.75</v>
      </c>
      <c r="O33">
        <v>3.9899999999999998E-2</v>
      </c>
      <c r="P33">
        <v>6.2100000000000002E-2</v>
      </c>
      <c r="Q33">
        <v>2.2200000000000001E-2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A080-3C25-488D-B5ED-ACA9F462CD1A}">
  <dimension ref="A1:N33"/>
  <sheetViews>
    <sheetView workbookViewId="0">
      <selection activeCell="L15" sqref="L15"/>
    </sheetView>
  </sheetViews>
  <sheetFormatPr defaultRowHeight="14.4" x14ac:dyDescent="0.55000000000000004"/>
  <cols>
    <col min="1" max="1" width="11.26171875" bestFit="1" customWidth="1"/>
    <col min="2" max="2" width="16.7890625" bestFit="1" customWidth="1"/>
    <col min="3" max="4" width="10.89453125" bestFit="1" customWidth="1"/>
    <col min="5" max="5" width="17.20703125" bestFit="1" customWidth="1"/>
    <col min="6" max="7" width="10.89453125" bestFit="1" customWidth="1"/>
    <col min="8" max="8" width="11.1015625" bestFit="1" customWidth="1"/>
    <col min="9" max="9" width="10.89453125" bestFit="1" customWidth="1"/>
    <col min="10" max="10" width="15.05078125" bestFit="1" customWidth="1"/>
    <col min="11" max="11" width="15.7890625" bestFit="1" customWidth="1"/>
    <col min="12" max="12" width="16.1015625" bestFit="1" customWidth="1"/>
    <col min="13" max="13" width="21.47265625" bestFit="1" customWidth="1"/>
    <col min="14" max="14" width="32.68359375" customWidth="1"/>
    <col min="15" max="15" width="10.89453125" bestFit="1" customWidth="1"/>
    <col min="16" max="16" width="3.89453125" bestFit="1" customWidth="1"/>
    <col min="17" max="17" width="10.89453125" bestFit="1" customWidth="1"/>
    <col min="18" max="18" width="7.47265625" bestFit="1" customWidth="1"/>
    <col min="19" max="19" width="8.89453125" bestFit="1" customWidth="1"/>
    <col min="20" max="20" width="3.89453125" bestFit="1" customWidth="1"/>
    <col min="21" max="21" width="6.41796875" bestFit="1" customWidth="1"/>
    <col min="22" max="22" width="3.89453125" bestFit="1" customWidth="1"/>
    <col min="23" max="23" width="6.41796875" bestFit="1" customWidth="1"/>
    <col min="24" max="24" width="8.68359375" bestFit="1" customWidth="1"/>
    <col min="25" max="25" width="10.1015625" bestFit="1" customWidth="1"/>
    <col min="26" max="26" width="3.89453125" bestFit="1" customWidth="1"/>
    <col min="27" max="27" width="6.41796875" bestFit="1" customWidth="1"/>
    <col min="28" max="28" width="8.41796875" bestFit="1" customWidth="1"/>
    <col min="29" max="29" width="9.83984375" bestFit="1" customWidth="1"/>
    <col min="30" max="30" width="5" bestFit="1" customWidth="1"/>
    <col min="31" max="31" width="6.41796875" bestFit="1" customWidth="1"/>
    <col min="32" max="32" width="4.9453125" bestFit="1" customWidth="1"/>
    <col min="33" max="33" width="6.3671875" bestFit="1" customWidth="1"/>
    <col min="34" max="34" width="7.15625" bestFit="1" customWidth="1"/>
    <col min="35" max="35" width="8.578125" bestFit="1" customWidth="1"/>
    <col min="36" max="36" width="9" bestFit="1" customWidth="1"/>
    <col min="37" max="37" width="10.41796875" bestFit="1" customWidth="1"/>
    <col min="38" max="38" width="7.1015625" bestFit="1" customWidth="1"/>
    <col min="39" max="39" width="8.5234375" bestFit="1" customWidth="1"/>
    <col min="40" max="40" width="7.05078125" bestFit="1" customWidth="1"/>
    <col min="41" max="41" width="8.47265625" bestFit="1" customWidth="1"/>
    <col min="42" max="42" width="6.3671875" bestFit="1" customWidth="1"/>
    <col min="43" max="43" width="7.7890625" bestFit="1" customWidth="1"/>
  </cols>
  <sheetData>
    <row r="1" spans="1:14" x14ac:dyDescent="0.55000000000000004">
      <c r="A1" t="s">
        <v>0</v>
      </c>
      <c r="B1" t="s">
        <v>86</v>
      </c>
      <c r="C1" t="s">
        <v>1</v>
      </c>
      <c r="D1" t="s">
        <v>2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 x14ac:dyDescent="0.55000000000000004">
      <c r="A2" t="s">
        <v>3</v>
      </c>
      <c r="B2" s="1" t="s">
        <v>79</v>
      </c>
      <c r="C2">
        <v>3.5999999999999997E-2</v>
      </c>
      <c r="D2">
        <v>0.27700000000000002</v>
      </c>
      <c r="E2">
        <v>5.0000000000000001E-3</v>
      </c>
      <c r="F2">
        <v>8.7999999999999995E-2</v>
      </c>
      <c r="G2">
        <v>0.29199999999999998</v>
      </c>
      <c r="H2">
        <v>0.16400000000000001</v>
      </c>
      <c r="I2">
        <v>3.3000000000000002E-2</v>
      </c>
      <c r="J2">
        <v>8.9999999999999993E-3</v>
      </c>
      <c r="K2">
        <v>2.5999999999999999E-2</v>
      </c>
      <c r="L2">
        <v>8.0000000000000002E-3</v>
      </c>
      <c r="M2">
        <v>1.6600660739787554</v>
      </c>
      <c r="N2">
        <v>0.72095753552376896</v>
      </c>
    </row>
    <row r="3" spans="1:14" x14ac:dyDescent="0.55000000000000004">
      <c r="A3" t="s">
        <v>4</v>
      </c>
      <c r="B3" s="1" t="s">
        <v>47</v>
      </c>
      <c r="C3">
        <v>3.5000000000000003E-2</v>
      </c>
      <c r="D3">
        <v>0.112</v>
      </c>
      <c r="E3">
        <v>0</v>
      </c>
      <c r="F3">
        <v>5.5E-2</v>
      </c>
      <c r="G3">
        <v>0.33200000000000002</v>
      </c>
      <c r="H3">
        <v>0.221</v>
      </c>
      <c r="I3">
        <v>8.5000000000000006E-2</v>
      </c>
      <c r="J3">
        <v>4.0000000000000001E-3</v>
      </c>
      <c r="K3">
        <v>7.5999999999999998E-2</v>
      </c>
      <c r="L3">
        <v>1E-3</v>
      </c>
      <c r="M3">
        <v>1.6561251961939671</v>
      </c>
      <c r="N3">
        <v>0.71924603404798004</v>
      </c>
    </row>
    <row r="4" spans="1:14" x14ac:dyDescent="0.55000000000000004">
      <c r="A4" t="s">
        <v>5</v>
      </c>
      <c r="B4" s="1" t="s">
        <v>55</v>
      </c>
      <c r="C4">
        <v>4.5999999999999999E-2</v>
      </c>
      <c r="D4">
        <v>7.0999999999999994E-2</v>
      </c>
      <c r="E4">
        <v>1E-3</v>
      </c>
      <c r="F4">
        <v>9.8000000000000004E-2</v>
      </c>
      <c r="G4">
        <v>0.38</v>
      </c>
      <c r="H4">
        <v>0.24099999999999999</v>
      </c>
      <c r="I4">
        <v>7.0000000000000007E-2</v>
      </c>
      <c r="J4">
        <v>1.0999999999999999E-2</v>
      </c>
      <c r="K4">
        <v>1.4E-2</v>
      </c>
      <c r="L4">
        <v>1.7999999999999999E-2</v>
      </c>
      <c r="M4">
        <v>1.6424267804088888</v>
      </c>
      <c r="N4">
        <v>0.71329688766170396</v>
      </c>
    </row>
    <row r="5" spans="1:14" x14ac:dyDescent="0.55000000000000004">
      <c r="A5" t="s">
        <v>6</v>
      </c>
      <c r="B5" s="1" t="s">
        <v>75</v>
      </c>
      <c r="C5">
        <v>2.1999999999999999E-2</v>
      </c>
      <c r="D5">
        <v>0.13500000000000001</v>
      </c>
      <c r="E5">
        <v>7.0000000000000001E-3</v>
      </c>
      <c r="F5">
        <v>0.153</v>
      </c>
      <c r="G5">
        <v>0.29299999999999998</v>
      </c>
      <c r="H5">
        <v>0.152</v>
      </c>
      <c r="I5">
        <v>0.108</v>
      </c>
      <c r="J5">
        <v>1E-3</v>
      </c>
      <c r="K5">
        <v>8.1000000000000003E-2</v>
      </c>
      <c r="L5">
        <v>2E-3</v>
      </c>
      <c r="M5">
        <v>1.7855778720398203</v>
      </c>
      <c r="N5">
        <v>0.77546661683544404</v>
      </c>
    </row>
    <row r="6" spans="1:14" x14ac:dyDescent="0.55000000000000004">
      <c r="A6" t="s">
        <v>7</v>
      </c>
      <c r="B6" s="1" t="s">
        <v>50</v>
      </c>
      <c r="C6">
        <v>7.2999999999999995E-2</v>
      </c>
      <c r="D6">
        <v>7.0999999999999994E-2</v>
      </c>
      <c r="E6">
        <v>5.0000000000000001E-3</v>
      </c>
      <c r="F6">
        <v>0.20499999999999999</v>
      </c>
      <c r="G6">
        <v>0.30599999999999999</v>
      </c>
      <c r="H6">
        <v>0.11899999999999999</v>
      </c>
      <c r="I6">
        <v>0.128</v>
      </c>
      <c r="J6">
        <v>1.7999999999999999E-2</v>
      </c>
      <c r="K6">
        <v>8.0000000000000002E-3</v>
      </c>
      <c r="L6">
        <v>5.0000000000000001E-3</v>
      </c>
      <c r="M6">
        <v>1.7464543817287828</v>
      </c>
      <c r="N6">
        <v>0.75847550088056603</v>
      </c>
    </row>
    <row r="7" spans="1:14" x14ac:dyDescent="0.55000000000000004">
      <c r="A7" t="s">
        <v>8</v>
      </c>
      <c r="B7" s="1" t="s">
        <v>62</v>
      </c>
      <c r="C7">
        <v>5.2999999999999999E-2</v>
      </c>
      <c r="D7">
        <v>0.17899999999999999</v>
      </c>
      <c r="E7">
        <v>5.0000000000000001E-3</v>
      </c>
      <c r="F7">
        <v>2.7E-2</v>
      </c>
      <c r="G7">
        <v>0.221</v>
      </c>
      <c r="H7">
        <v>0.13</v>
      </c>
      <c r="I7">
        <v>0.2</v>
      </c>
      <c r="J7">
        <v>8.9999999999999993E-3</v>
      </c>
      <c r="K7">
        <v>0.11799999999999999</v>
      </c>
      <c r="L7">
        <v>4.0000000000000001E-3</v>
      </c>
      <c r="M7">
        <v>1.8250362850773465</v>
      </c>
      <c r="N7">
        <v>0.792603187882302</v>
      </c>
    </row>
    <row r="8" spans="1:14" x14ac:dyDescent="0.55000000000000004">
      <c r="A8" t="s">
        <v>9</v>
      </c>
      <c r="B8" s="1" t="s">
        <v>57</v>
      </c>
      <c r="C8">
        <v>4.1000000000000002E-2</v>
      </c>
      <c r="D8">
        <v>0.11</v>
      </c>
      <c r="E8">
        <v>3.0000000000000001E-3</v>
      </c>
      <c r="F8">
        <v>0.112</v>
      </c>
      <c r="G8">
        <v>0.28999999999999998</v>
      </c>
      <c r="H8">
        <v>0.13100000000000001</v>
      </c>
      <c r="I8">
        <v>0.21099999999999999</v>
      </c>
      <c r="J8">
        <v>3.0000000000000001E-3</v>
      </c>
      <c r="K8">
        <v>6.2E-2</v>
      </c>
      <c r="L8">
        <v>3.0000000000000001E-3</v>
      </c>
      <c r="M8">
        <v>1.7971822053016915</v>
      </c>
      <c r="N8">
        <v>0.78050631473724197</v>
      </c>
    </row>
    <row r="9" spans="1:14" x14ac:dyDescent="0.55000000000000004">
      <c r="A9" t="s">
        <v>10</v>
      </c>
      <c r="B9" s="1" t="s">
        <v>49</v>
      </c>
      <c r="C9">
        <v>4.7E-2</v>
      </c>
      <c r="D9">
        <v>0.154</v>
      </c>
      <c r="E9">
        <v>5.0000000000000001E-3</v>
      </c>
      <c r="F9">
        <v>0.13900000000000001</v>
      </c>
      <c r="G9">
        <v>0.33300000000000002</v>
      </c>
      <c r="H9">
        <v>0.151</v>
      </c>
      <c r="I9">
        <v>4.2999999999999997E-2</v>
      </c>
      <c r="J9">
        <v>2.3E-2</v>
      </c>
      <c r="K9">
        <v>5.3999999999999999E-2</v>
      </c>
      <c r="L9">
        <v>1.0999999999999999E-2</v>
      </c>
      <c r="M9">
        <v>1.8135077005244551</v>
      </c>
      <c r="N9">
        <v>0.78759638722682601</v>
      </c>
    </row>
    <row r="10" spans="1:14" x14ac:dyDescent="0.55000000000000004">
      <c r="A10" t="s">
        <v>11</v>
      </c>
      <c r="B10" s="1" t="s">
        <v>71</v>
      </c>
      <c r="C10">
        <v>6.6000000000000003E-2</v>
      </c>
      <c r="D10">
        <v>0.183</v>
      </c>
      <c r="E10">
        <v>0</v>
      </c>
      <c r="F10">
        <v>0.216</v>
      </c>
      <c r="G10">
        <v>0.32200000000000001</v>
      </c>
      <c r="H10">
        <v>9.0999999999999998E-2</v>
      </c>
      <c r="I10">
        <v>5.8000000000000003E-2</v>
      </c>
      <c r="J10">
        <v>8.9999999999999993E-3</v>
      </c>
      <c r="K10">
        <v>0</v>
      </c>
      <c r="L10">
        <v>1.0999999999999999E-2</v>
      </c>
      <c r="M10">
        <v>1.6613493551365857</v>
      </c>
      <c r="N10">
        <v>0.72151485744934496</v>
      </c>
    </row>
    <row r="11" spans="1:14" x14ac:dyDescent="0.55000000000000004">
      <c r="A11" t="s">
        <v>12</v>
      </c>
      <c r="B11" s="1" t="s">
        <v>81</v>
      </c>
      <c r="C11">
        <v>0.05</v>
      </c>
      <c r="D11">
        <v>0.246</v>
      </c>
      <c r="E11">
        <v>1E-3</v>
      </c>
      <c r="F11">
        <v>0.18</v>
      </c>
      <c r="G11">
        <v>0.253</v>
      </c>
      <c r="H11">
        <v>0.127</v>
      </c>
      <c r="I11">
        <v>2.1000000000000001E-2</v>
      </c>
      <c r="J11">
        <v>3.1E-2</v>
      </c>
      <c r="K11">
        <v>2.1000000000000001E-2</v>
      </c>
      <c r="L11">
        <v>1.9E-2</v>
      </c>
      <c r="M11">
        <v>1.7653876315271519</v>
      </c>
      <c r="N11">
        <v>0.76669810679249295</v>
      </c>
    </row>
    <row r="12" spans="1:14" x14ac:dyDescent="0.55000000000000004">
      <c r="A12" t="s">
        <v>13</v>
      </c>
      <c r="B12" s="1" t="s">
        <v>66</v>
      </c>
      <c r="C12">
        <v>0.06</v>
      </c>
      <c r="D12">
        <v>0.13400000000000001</v>
      </c>
      <c r="E12">
        <v>7.0000000000000001E-3</v>
      </c>
      <c r="F12">
        <v>0.16400000000000001</v>
      </c>
      <c r="G12">
        <v>0.245</v>
      </c>
      <c r="H12">
        <v>0.17699999999999999</v>
      </c>
      <c r="I12">
        <v>0.06</v>
      </c>
      <c r="J12">
        <v>6.0000000000000001E-3</v>
      </c>
      <c r="K12">
        <v>7.2999999999999995E-2</v>
      </c>
      <c r="L12">
        <v>7.0000000000000001E-3</v>
      </c>
      <c r="M12">
        <v>1.8457420981120902</v>
      </c>
      <c r="N12">
        <v>0.80159560822661102</v>
      </c>
    </row>
    <row r="13" spans="1:14" x14ac:dyDescent="0.55000000000000004">
      <c r="A13" t="s">
        <v>14</v>
      </c>
      <c r="B13" s="1" t="s">
        <v>54</v>
      </c>
      <c r="C13">
        <v>3.3000000000000002E-2</v>
      </c>
      <c r="D13">
        <v>0.16600000000000001</v>
      </c>
      <c r="E13">
        <v>0</v>
      </c>
      <c r="F13">
        <v>0.14599999999999999</v>
      </c>
      <c r="G13">
        <v>0.315</v>
      </c>
      <c r="H13">
        <v>0.122</v>
      </c>
      <c r="I13">
        <v>0.122</v>
      </c>
      <c r="J13">
        <v>2.5999999999999999E-2</v>
      </c>
      <c r="K13">
        <v>0.01</v>
      </c>
      <c r="L13">
        <v>3.0000000000000001E-3</v>
      </c>
      <c r="M13">
        <v>1.7271582249856656</v>
      </c>
      <c r="N13">
        <v>0.75009528648509005</v>
      </c>
    </row>
    <row r="14" spans="1:14" x14ac:dyDescent="0.55000000000000004">
      <c r="A14" t="s">
        <v>15</v>
      </c>
      <c r="B14" s="1" t="s">
        <v>63</v>
      </c>
      <c r="C14">
        <v>6.0999999999999999E-2</v>
      </c>
      <c r="D14">
        <v>0.23</v>
      </c>
      <c r="E14">
        <v>4.0000000000000001E-3</v>
      </c>
      <c r="F14">
        <v>0.189</v>
      </c>
      <c r="G14">
        <v>0.28799999999999998</v>
      </c>
      <c r="H14">
        <v>7.2999999999999995E-2</v>
      </c>
      <c r="I14">
        <v>3.5000000000000003E-2</v>
      </c>
      <c r="J14">
        <v>2.1999999999999999E-2</v>
      </c>
      <c r="K14">
        <v>0.05</v>
      </c>
      <c r="L14">
        <v>1.2E-2</v>
      </c>
      <c r="M14">
        <v>1.7993228752032606</v>
      </c>
      <c r="N14">
        <v>0.781435995863069</v>
      </c>
    </row>
    <row r="15" spans="1:14" x14ac:dyDescent="0.55000000000000004">
      <c r="A15" t="s">
        <v>16</v>
      </c>
      <c r="B15" s="1" t="s">
        <v>72</v>
      </c>
      <c r="C15">
        <v>0.05</v>
      </c>
      <c r="D15">
        <v>8.7999999999999995E-2</v>
      </c>
      <c r="E15">
        <v>0</v>
      </c>
      <c r="F15">
        <v>0.126</v>
      </c>
      <c r="G15">
        <v>0.47</v>
      </c>
      <c r="H15">
        <v>9.7000000000000003E-2</v>
      </c>
      <c r="I15">
        <v>6.0999999999999999E-2</v>
      </c>
      <c r="J15">
        <v>5.0000000000000001E-3</v>
      </c>
      <c r="K15">
        <v>3.5999999999999997E-2</v>
      </c>
      <c r="L15">
        <v>1E-3</v>
      </c>
      <c r="M15">
        <v>1.5295166118610208</v>
      </c>
      <c r="N15">
        <v>0.66426062451059897</v>
      </c>
    </row>
    <row r="16" spans="1:14" x14ac:dyDescent="0.55000000000000004">
      <c r="A16" t="s">
        <v>17</v>
      </c>
      <c r="B16" s="1" t="s">
        <v>67</v>
      </c>
      <c r="C16">
        <v>5.2999999999999999E-2</v>
      </c>
      <c r="D16">
        <v>0.21099999999999999</v>
      </c>
      <c r="E16">
        <v>1.2999999999999999E-2</v>
      </c>
      <c r="F16">
        <v>0.14199999999999999</v>
      </c>
      <c r="G16">
        <v>0.246</v>
      </c>
      <c r="H16">
        <v>0.121</v>
      </c>
      <c r="I16">
        <v>7.8E-2</v>
      </c>
      <c r="J16">
        <v>8.0000000000000002E-3</v>
      </c>
      <c r="K16">
        <v>4.5999999999999999E-2</v>
      </c>
      <c r="L16">
        <v>8.0000000000000002E-3</v>
      </c>
      <c r="M16">
        <v>1.8360279956856365</v>
      </c>
      <c r="N16">
        <v>0.79737682714615898</v>
      </c>
    </row>
    <row r="17" spans="1:14" x14ac:dyDescent="0.55000000000000004">
      <c r="A17" t="s">
        <v>18</v>
      </c>
      <c r="B17" s="1" t="s">
        <v>61</v>
      </c>
      <c r="C17">
        <v>1.4E-2</v>
      </c>
      <c r="D17">
        <v>0.16900000000000001</v>
      </c>
      <c r="E17">
        <v>1E-3</v>
      </c>
      <c r="F17">
        <v>6.5000000000000002E-2</v>
      </c>
      <c r="G17">
        <v>0.32900000000000001</v>
      </c>
      <c r="H17">
        <v>0.19900000000000001</v>
      </c>
      <c r="I17">
        <v>0.113</v>
      </c>
      <c r="J17">
        <v>0</v>
      </c>
      <c r="K17">
        <v>6.8000000000000005E-2</v>
      </c>
      <c r="L17">
        <v>0</v>
      </c>
      <c r="M17">
        <v>1.6610026916966067</v>
      </c>
      <c r="N17">
        <v>0.72136430343028402</v>
      </c>
    </row>
    <row r="18" spans="1:14" x14ac:dyDescent="0.55000000000000004">
      <c r="A18" t="s">
        <v>19</v>
      </c>
      <c r="B18" s="1" t="s">
        <v>77</v>
      </c>
      <c r="C18">
        <v>3.1E-2</v>
      </c>
      <c r="D18">
        <v>0.26</v>
      </c>
      <c r="E18">
        <v>4.0000000000000001E-3</v>
      </c>
      <c r="F18">
        <v>0.17</v>
      </c>
      <c r="G18">
        <v>0.27900000000000003</v>
      </c>
      <c r="H18">
        <v>0.17499999999999999</v>
      </c>
      <c r="I18">
        <v>2.7E-2</v>
      </c>
      <c r="J18">
        <v>4.0000000000000001E-3</v>
      </c>
      <c r="K18">
        <v>1.2E-2</v>
      </c>
      <c r="L18">
        <v>3.0000000000000001E-3</v>
      </c>
      <c r="M18">
        <v>1.632528983016829</v>
      </c>
      <c r="N18">
        <v>0.70899832887133596</v>
      </c>
    </row>
    <row r="19" spans="1:14" x14ac:dyDescent="0.55000000000000004">
      <c r="A19" t="s">
        <v>20</v>
      </c>
      <c r="B19" s="1" t="s">
        <v>80</v>
      </c>
      <c r="C19">
        <v>2.5000000000000001E-2</v>
      </c>
      <c r="D19">
        <v>0.17399999999999999</v>
      </c>
      <c r="E19">
        <v>0</v>
      </c>
      <c r="F19">
        <v>0.127</v>
      </c>
      <c r="G19">
        <v>0.33700000000000002</v>
      </c>
      <c r="H19">
        <v>0.126</v>
      </c>
      <c r="I19">
        <v>0.14899999999999999</v>
      </c>
      <c r="J19">
        <v>1E-3</v>
      </c>
      <c r="K19">
        <v>1.9E-2</v>
      </c>
      <c r="L19">
        <v>0</v>
      </c>
      <c r="M19">
        <v>1.6519984716049454</v>
      </c>
      <c r="N19">
        <v>0.71745382033063398</v>
      </c>
    </row>
    <row r="20" spans="1:14" x14ac:dyDescent="0.55000000000000004">
      <c r="A20" t="s">
        <v>21</v>
      </c>
      <c r="B20" s="1" t="s">
        <v>76</v>
      </c>
      <c r="C20">
        <v>6.3E-2</v>
      </c>
      <c r="D20">
        <v>0.189</v>
      </c>
      <c r="E20">
        <v>8.9999999999999993E-3</v>
      </c>
      <c r="F20">
        <v>8.5999999999999993E-2</v>
      </c>
      <c r="G20">
        <v>0.316</v>
      </c>
      <c r="H20">
        <v>4.3999999999999997E-2</v>
      </c>
      <c r="I20">
        <v>0.16400000000000001</v>
      </c>
      <c r="J20">
        <v>6.0000000000000001E-3</v>
      </c>
      <c r="K20">
        <v>5.8000000000000003E-2</v>
      </c>
      <c r="L20">
        <v>5.0000000000000001E-3</v>
      </c>
      <c r="M20">
        <v>1.7627329814221746</v>
      </c>
      <c r="N20">
        <v>0.76554520690051797</v>
      </c>
    </row>
    <row r="21" spans="1:14" x14ac:dyDescent="0.55000000000000004">
      <c r="A21" t="s">
        <v>22</v>
      </c>
      <c r="B21" s="1" t="s">
        <v>74</v>
      </c>
      <c r="C21">
        <v>2.5000000000000001E-2</v>
      </c>
      <c r="D21">
        <v>0.31</v>
      </c>
      <c r="E21">
        <v>1.4999999999999999E-2</v>
      </c>
      <c r="F21">
        <v>9.9000000000000005E-2</v>
      </c>
      <c r="G21">
        <v>0.29199999999999998</v>
      </c>
      <c r="H21">
        <v>0.14199999999999999</v>
      </c>
      <c r="I21">
        <v>2.5000000000000001E-2</v>
      </c>
      <c r="J21">
        <v>1.7999999999999999E-2</v>
      </c>
      <c r="K21">
        <v>1.0999999999999999E-2</v>
      </c>
      <c r="L21">
        <v>1.4999999999999999E-2</v>
      </c>
      <c r="M21">
        <v>1.6610003588480138</v>
      </c>
      <c r="N21">
        <v>0.72136329028701396</v>
      </c>
    </row>
    <row r="22" spans="1:14" x14ac:dyDescent="0.55000000000000004">
      <c r="A22" t="s">
        <v>23</v>
      </c>
      <c r="B22" s="1" t="s">
        <v>52</v>
      </c>
      <c r="C22">
        <v>3.5000000000000003E-2</v>
      </c>
      <c r="D22">
        <v>0.27</v>
      </c>
      <c r="E22">
        <v>5.0000000000000001E-3</v>
      </c>
      <c r="F22">
        <v>0.11</v>
      </c>
      <c r="G22">
        <v>0.34799999999999998</v>
      </c>
      <c r="H22">
        <v>0.113</v>
      </c>
      <c r="I22">
        <v>4.8000000000000001E-2</v>
      </c>
      <c r="J22">
        <v>2.1999999999999999E-2</v>
      </c>
      <c r="K22">
        <v>8.0000000000000002E-3</v>
      </c>
      <c r="L22">
        <v>1.0999999999999999E-2</v>
      </c>
      <c r="M22">
        <v>1.671817230423952</v>
      </c>
      <c r="N22">
        <v>0.7260609979239</v>
      </c>
    </row>
    <row r="23" spans="1:14" x14ac:dyDescent="0.55000000000000004">
      <c r="A23" t="s">
        <v>24</v>
      </c>
      <c r="B23" s="1" t="s">
        <v>64</v>
      </c>
      <c r="C23">
        <v>8.2000000000000003E-2</v>
      </c>
      <c r="D23">
        <v>0.23799999999999999</v>
      </c>
      <c r="E23">
        <v>2E-3</v>
      </c>
      <c r="F23">
        <v>9.4E-2</v>
      </c>
      <c r="G23">
        <v>0.221</v>
      </c>
      <c r="H23">
        <v>0.11799999999999999</v>
      </c>
      <c r="I23">
        <v>7.9000000000000001E-2</v>
      </c>
      <c r="J23">
        <v>1.7999999999999999E-2</v>
      </c>
      <c r="K23">
        <v>8.5999999999999993E-2</v>
      </c>
      <c r="L23">
        <v>1.9E-2</v>
      </c>
      <c r="M23">
        <v>1.9263483766905636</v>
      </c>
      <c r="N23">
        <v>0.83660247021999801</v>
      </c>
    </row>
    <row r="24" spans="1:14" x14ac:dyDescent="0.55000000000000004">
      <c r="A24" t="s">
        <v>25</v>
      </c>
      <c r="B24" s="1" t="s">
        <v>68</v>
      </c>
      <c r="C24">
        <v>0.04</v>
      </c>
      <c r="D24">
        <v>0.14799999999999999</v>
      </c>
      <c r="E24">
        <v>0</v>
      </c>
      <c r="F24">
        <v>0.115</v>
      </c>
      <c r="G24">
        <v>0.29099999999999998</v>
      </c>
      <c r="H24">
        <v>0.188</v>
      </c>
      <c r="I24">
        <v>0.109</v>
      </c>
      <c r="J24">
        <v>0</v>
      </c>
      <c r="K24">
        <v>2.5999999999999999E-2</v>
      </c>
      <c r="L24">
        <v>4.0000000000000001E-3</v>
      </c>
      <c r="M24">
        <v>1.6922320561441786</v>
      </c>
      <c r="N24">
        <v>0.73492704408320997</v>
      </c>
    </row>
    <row r="25" spans="1:14" x14ac:dyDescent="0.55000000000000004">
      <c r="A25" t="s">
        <v>26</v>
      </c>
      <c r="B25" s="1" t="s">
        <v>70</v>
      </c>
      <c r="C25">
        <v>5.3999999999999999E-2</v>
      </c>
      <c r="D25">
        <v>0.38400000000000001</v>
      </c>
      <c r="E25">
        <v>1E-3</v>
      </c>
      <c r="F25">
        <v>0.13800000000000001</v>
      </c>
      <c r="G25">
        <v>0.246</v>
      </c>
      <c r="H25">
        <v>5.8000000000000003E-2</v>
      </c>
      <c r="I25">
        <v>3.7999999999999999E-2</v>
      </c>
      <c r="J25">
        <v>3.0000000000000001E-3</v>
      </c>
      <c r="K25">
        <v>4.1000000000000002E-2</v>
      </c>
      <c r="L25">
        <v>0</v>
      </c>
      <c r="M25">
        <v>1.5881576282784089</v>
      </c>
      <c r="N25">
        <v>0.68972809435386895</v>
      </c>
    </row>
    <row r="26" spans="1:14" x14ac:dyDescent="0.55000000000000004">
      <c r="A26" t="s">
        <v>27</v>
      </c>
      <c r="B26" s="1" t="s">
        <v>73</v>
      </c>
      <c r="C26">
        <v>4.8000000000000001E-2</v>
      </c>
      <c r="D26">
        <v>0.124</v>
      </c>
      <c r="E26">
        <v>0</v>
      </c>
      <c r="F26">
        <v>0.13500000000000001</v>
      </c>
      <c r="G26">
        <v>0.28100000000000003</v>
      </c>
      <c r="H26">
        <v>0.26600000000000001</v>
      </c>
      <c r="I26">
        <v>4.4999999999999998E-2</v>
      </c>
      <c r="J26">
        <v>5.0000000000000001E-3</v>
      </c>
      <c r="K26">
        <v>1.9E-2</v>
      </c>
      <c r="L26">
        <v>0</v>
      </c>
      <c r="M26">
        <v>1.6252344423280094</v>
      </c>
      <c r="N26">
        <v>0.705830350102163</v>
      </c>
    </row>
    <row r="27" spans="1:14" x14ac:dyDescent="0.55000000000000004">
      <c r="A27" t="s">
        <v>28</v>
      </c>
      <c r="B27" s="1" t="s">
        <v>56</v>
      </c>
      <c r="C27">
        <v>3.5000000000000003E-2</v>
      </c>
      <c r="D27">
        <v>0.13500000000000001</v>
      </c>
      <c r="E27">
        <v>0</v>
      </c>
      <c r="F27">
        <v>0.19800000000000001</v>
      </c>
      <c r="G27">
        <v>0.33400000000000002</v>
      </c>
      <c r="H27">
        <v>0.114</v>
      </c>
      <c r="I27">
        <v>0.06</v>
      </c>
      <c r="J27">
        <v>0</v>
      </c>
      <c r="K27">
        <v>5.6000000000000001E-2</v>
      </c>
      <c r="L27">
        <v>3.0000000000000001E-3</v>
      </c>
      <c r="M27">
        <v>1.669801116477774</v>
      </c>
      <c r="N27">
        <v>0.72518541076218601</v>
      </c>
    </row>
    <row r="28" spans="1:14" x14ac:dyDescent="0.55000000000000004">
      <c r="A28" t="s">
        <v>29</v>
      </c>
      <c r="B28" s="1" t="s">
        <v>65</v>
      </c>
      <c r="C28">
        <v>1.9E-2</v>
      </c>
      <c r="D28">
        <v>0.17699999999999999</v>
      </c>
      <c r="E28">
        <v>1E-3</v>
      </c>
      <c r="F28">
        <v>2.7E-2</v>
      </c>
      <c r="G28">
        <v>0.39</v>
      </c>
      <c r="H28">
        <v>0.19500000000000001</v>
      </c>
      <c r="I28">
        <v>5.7000000000000002E-2</v>
      </c>
      <c r="J28">
        <v>0</v>
      </c>
      <c r="K28">
        <v>0.1</v>
      </c>
      <c r="L28">
        <v>0</v>
      </c>
      <c r="M28">
        <v>1.5657780778013481</v>
      </c>
      <c r="N28">
        <v>0.68000877907420598</v>
      </c>
    </row>
    <row r="29" spans="1:14" x14ac:dyDescent="0.55000000000000004">
      <c r="A29" t="s">
        <v>30</v>
      </c>
      <c r="B29" s="1" t="s">
        <v>58</v>
      </c>
      <c r="C29">
        <v>8.5000000000000006E-2</v>
      </c>
      <c r="D29">
        <v>0.254</v>
      </c>
      <c r="E29">
        <v>0</v>
      </c>
      <c r="F29">
        <v>0.129</v>
      </c>
      <c r="G29">
        <v>0.32600000000000001</v>
      </c>
      <c r="H29">
        <v>4.2999999999999997E-2</v>
      </c>
      <c r="I29">
        <v>7.9000000000000001E-2</v>
      </c>
      <c r="J29">
        <v>0</v>
      </c>
      <c r="K29">
        <v>3.1E-2</v>
      </c>
      <c r="L29">
        <v>5.0000000000000001E-3</v>
      </c>
      <c r="M29">
        <v>1.657211640257479</v>
      </c>
      <c r="N29">
        <v>0.71971787070965998</v>
      </c>
    </row>
    <row r="30" spans="1:14" x14ac:dyDescent="0.55000000000000004">
      <c r="A30" t="s">
        <v>31</v>
      </c>
      <c r="B30" s="1" t="s">
        <v>78</v>
      </c>
      <c r="C30">
        <v>1.7999999999999999E-2</v>
      </c>
      <c r="D30">
        <v>0.151</v>
      </c>
      <c r="E30">
        <v>0</v>
      </c>
      <c r="F30">
        <v>4.2000000000000003E-2</v>
      </c>
      <c r="G30">
        <v>0.38400000000000001</v>
      </c>
      <c r="H30">
        <v>0.219</v>
      </c>
      <c r="I30">
        <v>0.112</v>
      </c>
      <c r="J30">
        <v>4.0000000000000001E-3</v>
      </c>
      <c r="K30">
        <v>1.2999999999999999E-2</v>
      </c>
      <c r="L30">
        <v>4.0000000000000001E-3</v>
      </c>
      <c r="M30">
        <v>1.5368661590824875</v>
      </c>
      <c r="N30">
        <v>0.66745249231337</v>
      </c>
    </row>
    <row r="31" spans="1:14" x14ac:dyDescent="0.55000000000000004">
      <c r="A31" t="s">
        <v>32</v>
      </c>
      <c r="B31" s="1" t="s">
        <v>69</v>
      </c>
      <c r="C31">
        <v>1.4E-2</v>
      </c>
      <c r="D31">
        <v>0.105</v>
      </c>
      <c r="E31">
        <v>0</v>
      </c>
      <c r="F31">
        <v>8.5999999999999993E-2</v>
      </c>
      <c r="G31">
        <v>0.36299999999999999</v>
      </c>
      <c r="H31">
        <v>0.13500000000000001</v>
      </c>
      <c r="I31">
        <v>0.14299999999999999</v>
      </c>
      <c r="J31">
        <v>1E-3</v>
      </c>
      <c r="K31">
        <v>9.5000000000000001E-2</v>
      </c>
      <c r="L31">
        <v>1E-3</v>
      </c>
      <c r="M31">
        <v>1.6611413104646533</v>
      </c>
      <c r="N31">
        <v>0.72142450479633502</v>
      </c>
    </row>
    <row r="32" spans="1:14" x14ac:dyDescent="0.55000000000000004">
      <c r="A32" t="s">
        <v>33</v>
      </c>
      <c r="B32" s="1" t="s">
        <v>60</v>
      </c>
      <c r="C32">
        <v>5.0999999999999997E-2</v>
      </c>
      <c r="D32">
        <v>0.13800000000000001</v>
      </c>
      <c r="E32">
        <v>3.0000000000000001E-3</v>
      </c>
      <c r="F32">
        <v>0.09</v>
      </c>
      <c r="G32">
        <v>0.30399999999999999</v>
      </c>
      <c r="H32">
        <v>0.125</v>
      </c>
      <c r="I32">
        <v>0.223</v>
      </c>
      <c r="J32">
        <v>0</v>
      </c>
      <c r="K32">
        <v>1.7999999999999999E-2</v>
      </c>
      <c r="L32">
        <v>0.01</v>
      </c>
      <c r="M32">
        <v>1.7341302693664957</v>
      </c>
      <c r="N32">
        <v>0.75312320688726897</v>
      </c>
    </row>
    <row r="33" spans="1:14" x14ac:dyDescent="0.55000000000000004">
      <c r="A33" t="s">
        <v>34</v>
      </c>
      <c r="B33" s="1" t="s">
        <v>45</v>
      </c>
      <c r="C33">
        <v>3.4000000000000002E-2</v>
      </c>
      <c r="D33">
        <v>0.23300000000000001</v>
      </c>
      <c r="E33">
        <v>3.0000000000000001E-3</v>
      </c>
      <c r="F33">
        <v>0.122</v>
      </c>
      <c r="G33">
        <v>0.30199999999999999</v>
      </c>
      <c r="H33">
        <v>0.121</v>
      </c>
      <c r="I33">
        <v>7.0999999999999994E-2</v>
      </c>
      <c r="J33">
        <v>3.0000000000000001E-3</v>
      </c>
      <c r="K33">
        <v>4.2999999999999997E-2</v>
      </c>
      <c r="L33">
        <v>3.0000000000000001E-3</v>
      </c>
      <c r="M33">
        <v>1.7035633987658976</v>
      </c>
      <c r="N33">
        <v>0.73984818365637794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B421-EAF3-45E1-9956-521B11E93CE1}">
  <dimension ref="A1:D693"/>
  <sheetViews>
    <sheetView workbookViewId="0">
      <selection activeCell="E8" sqref="E8"/>
    </sheetView>
  </sheetViews>
  <sheetFormatPr defaultRowHeight="14.4" x14ac:dyDescent="0.55000000000000004"/>
  <cols>
    <col min="1" max="1" width="7.3671875" bestFit="1" customWidth="1"/>
    <col min="2" max="2" width="15.1015625" bestFit="1" customWidth="1"/>
    <col min="3" max="3" width="21.89453125" bestFit="1" customWidth="1"/>
    <col min="4" max="4" width="21.5234375" bestFit="1" customWidth="1"/>
    <col min="5" max="5" width="26.47265625" bestFit="1" customWidth="1"/>
    <col min="6" max="6" width="21.47265625" bestFit="1" customWidth="1"/>
    <col min="7" max="7" width="25.26171875" bestFit="1" customWidth="1"/>
    <col min="8" max="8" width="32.47265625" bestFit="1" customWidth="1"/>
    <col min="9" max="9" width="26.68359375" bestFit="1" customWidth="1"/>
    <col min="10" max="10" width="25.15625" bestFit="1" customWidth="1"/>
    <col min="11" max="11" width="28.734375" bestFit="1" customWidth="1"/>
    <col min="12" max="12" width="30.15625" bestFit="1" customWidth="1"/>
    <col min="13" max="13" width="25.15625" bestFit="1" customWidth="1"/>
    <col min="14" max="14" width="28.734375" bestFit="1" customWidth="1"/>
    <col min="15" max="15" width="30.15625" bestFit="1" customWidth="1"/>
  </cols>
  <sheetData>
    <row r="1" spans="1:4" x14ac:dyDescent="0.55000000000000004">
      <c r="A1" t="s">
        <v>0</v>
      </c>
      <c r="B1" t="s">
        <v>83</v>
      </c>
      <c r="C1" t="s">
        <v>84</v>
      </c>
      <c r="D1" t="s">
        <v>85</v>
      </c>
    </row>
    <row r="2" spans="1:4" x14ac:dyDescent="0.55000000000000004">
      <c r="A2" t="s">
        <v>45</v>
      </c>
      <c r="B2" t="s">
        <v>46</v>
      </c>
      <c r="C2">
        <v>0.10192706435918808</v>
      </c>
      <c r="D2">
        <v>0</v>
      </c>
    </row>
    <row r="3" spans="1:4" x14ac:dyDescent="0.55000000000000004">
      <c r="A3" t="s">
        <v>47</v>
      </c>
      <c r="B3" t="s">
        <v>46</v>
      </c>
      <c r="C3">
        <v>9.9727064371109009E-2</v>
      </c>
      <c r="D3">
        <v>0</v>
      </c>
    </row>
    <row r="4" spans="1:4" x14ac:dyDescent="0.55000000000000004">
      <c r="A4" t="s">
        <v>45</v>
      </c>
      <c r="B4" t="s">
        <v>48</v>
      </c>
      <c r="C4">
        <v>3.2513592392206192E-2</v>
      </c>
      <c r="D4">
        <v>-5.4545454680919647E-2</v>
      </c>
    </row>
    <row r="5" spans="1:4" x14ac:dyDescent="0.55000000000000004">
      <c r="A5" t="s">
        <v>49</v>
      </c>
      <c r="B5" t="s">
        <v>48</v>
      </c>
      <c r="C5">
        <v>7.2648815810680389E-2</v>
      </c>
      <c r="D5">
        <v>-5.714285746216774E-2</v>
      </c>
    </row>
    <row r="6" spans="1:4" x14ac:dyDescent="0.55000000000000004">
      <c r="A6" t="s">
        <v>47</v>
      </c>
      <c r="B6" t="s">
        <v>48</v>
      </c>
      <c r="C6">
        <v>0.10451281070709229</v>
      </c>
      <c r="D6">
        <v>-1.5625E-2</v>
      </c>
    </row>
    <row r="7" spans="1:4" x14ac:dyDescent="0.55000000000000004">
      <c r="A7" t="s">
        <v>50</v>
      </c>
      <c r="B7" t="s">
        <v>51</v>
      </c>
      <c r="C7">
        <v>5.0142474472522736E-2</v>
      </c>
      <c r="D7">
        <v>-5.9829059988260269E-2</v>
      </c>
    </row>
    <row r="8" spans="1:4" x14ac:dyDescent="0.55000000000000004">
      <c r="A8" t="s">
        <v>52</v>
      </c>
      <c r="B8" t="s">
        <v>53</v>
      </c>
      <c r="C8">
        <v>4.4053725898265839E-2</v>
      </c>
      <c r="D8">
        <v>-4.0892194956541061E-2</v>
      </c>
    </row>
    <row r="9" spans="1:4" x14ac:dyDescent="0.55000000000000004">
      <c r="A9" t="s">
        <v>54</v>
      </c>
      <c r="B9" t="s">
        <v>51</v>
      </c>
      <c r="C9">
        <v>6.7384660243988037E-2</v>
      </c>
      <c r="D9">
        <v>-3.7735849618911743E-2</v>
      </c>
    </row>
    <row r="10" spans="1:4" x14ac:dyDescent="0.55000000000000004">
      <c r="A10" t="s">
        <v>55</v>
      </c>
      <c r="B10" t="s">
        <v>51</v>
      </c>
      <c r="C10">
        <v>8.134286105632782E-2</v>
      </c>
      <c r="D10">
        <v>-2.1978022530674934E-2</v>
      </c>
    </row>
    <row r="11" spans="1:4" x14ac:dyDescent="0.55000000000000004">
      <c r="A11" t="s">
        <v>56</v>
      </c>
      <c r="B11" t="s">
        <v>46</v>
      </c>
      <c r="C11">
        <v>7.8325897455215454E-2</v>
      </c>
      <c r="D11">
        <v>0</v>
      </c>
    </row>
    <row r="12" spans="1:4" x14ac:dyDescent="0.55000000000000004">
      <c r="A12" t="s">
        <v>55</v>
      </c>
      <c r="B12" t="s">
        <v>46</v>
      </c>
      <c r="C12">
        <v>-0.22507403790950775</v>
      </c>
      <c r="D12">
        <v>0</v>
      </c>
    </row>
    <row r="13" spans="1:4" x14ac:dyDescent="0.55000000000000004">
      <c r="A13" t="s">
        <v>57</v>
      </c>
      <c r="B13" t="s">
        <v>46</v>
      </c>
      <c r="C13">
        <v>-7.2540398687124252E-3</v>
      </c>
      <c r="D13">
        <v>-0.125</v>
      </c>
    </row>
    <row r="14" spans="1:4" x14ac:dyDescent="0.55000000000000004">
      <c r="A14" t="s">
        <v>58</v>
      </c>
      <c r="B14" t="s">
        <v>46</v>
      </c>
      <c r="C14">
        <v>6.3036762177944183E-2</v>
      </c>
      <c r="D14">
        <v>-4.1666667908430099E-2</v>
      </c>
    </row>
    <row r="15" spans="1:4" x14ac:dyDescent="0.55000000000000004">
      <c r="A15" t="s">
        <v>58</v>
      </c>
      <c r="B15" t="s">
        <v>59</v>
      </c>
      <c r="C15">
        <v>5.3833243437111378E-3</v>
      </c>
      <c r="D15">
        <v>0</v>
      </c>
    </row>
    <row r="16" spans="1:4" x14ac:dyDescent="0.55000000000000004">
      <c r="A16" t="s">
        <v>56</v>
      </c>
      <c r="B16" t="s">
        <v>46</v>
      </c>
      <c r="C16">
        <v>0.32827520370483398</v>
      </c>
      <c r="D16">
        <v>0.20000000298023224</v>
      </c>
    </row>
    <row r="17" spans="1:4" x14ac:dyDescent="0.55000000000000004">
      <c r="A17" t="s">
        <v>57</v>
      </c>
      <c r="B17" t="s">
        <v>59</v>
      </c>
      <c r="C17">
        <v>-0.27836701273918152</v>
      </c>
      <c r="D17">
        <v>-0.25</v>
      </c>
    </row>
    <row r="18" spans="1:4" x14ac:dyDescent="0.55000000000000004">
      <c r="A18" t="s">
        <v>60</v>
      </c>
      <c r="B18" t="s">
        <v>59</v>
      </c>
      <c r="C18">
        <v>2.9396448284387589E-2</v>
      </c>
      <c r="D18">
        <v>0</v>
      </c>
    </row>
    <row r="19" spans="1:4" x14ac:dyDescent="0.55000000000000004">
      <c r="A19" t="s">
        <v>55</v>
      </c>
      <c r="B19" t="s">
        <v>46</v>
      </c>
      <c r="C19">
        <v>4.7316346317529678E-2</v>
      </c>
      <c r="D19">
        <v>-5.8823529630899429E-2</v>
      </c>
    </row>
    <row r="20" spans="1:4" x14ac:dyDescent="0.55000000000000004">
      <c r="A20" t="s">
        <v>54</v>
      </c>
      <c r="B20" t="s">
        <v>48</v>
      </c>
      <c r="C20">
        <v>0.14605873823165894</v>
      </c>
      <c r="D20">
        <v>2.1126760169863701E-2</v>
      </c>
    </row>
    <row r="21" spans="1:4" x14ac:dyDescent="0.55000000000000004">
      <c r="A21" t="s">
        <v>55</v>
      </c>
      <c r="B21" t="s">
        <v>48</v>
      </c>
      <c r="C21">
        <v>6.4424782991409302E-2</v>
      </c>
      <c r="D21">
        <v>-7.0000000298023224E-2</v>
      </c>
    </row>
    <row r="22" spans="1:4" x14ac:dyDescent="0.55000000000000004">
      <c r="A22" t="s">
        <v>61</v>
      </c>
      <c r="B22" t="s">
        <v>46</v>
      </c>
      <c r="C22">
        <v>-0.65208303928375244</v>
      </c>
      <c r="D22">
        <v>-0.5</v>
      </c>
    </row>
    <row r="23" spans="1:4" x14ac:dyDescent="0.55000000000000004">
      <c r="A23" t="s">
        <v>62</v>
      </c>
      <c r="B23" t="s">
        <v>46</v>
      </c>
      <c r="C23">
        <v>8.8497236371040344E-2</v>
      </c>
      <c r="D23">
        <v>0</v>
      </c>
    </row>
    <row r="24" spans="1:4" x14ac:dyDescent="0.55000000000000004">
      <c r="A24" t="s">
        <v>63</v>
      </c>
      <c r="B24" t="s">
        <v>59</v>
      </c>
      <c r="C24">
        <v>8.1257998943328857E-2</v>
      </c>
      <c r="D24">
        <v>0</v>
      </c>
    </row>
    <row r="25" spans="1:4" x14ac:dyDescent="0.55000000000000004">
      <c r="A25" t="s">
        <v>57</v>
      </c>
      <c r="B25" t="s">
        <v>51</v>
      </c>
      <c r="C25">
        <v>8.0175884068012238E-2</v>
      </c>
      <c r="D25">
        <v>-2.777777798473835E-2</v>
      </c>
    </row>
    <row r="26" spans="1:4" x14ac:dyDescent="0.55000000000000004">
      <c r="A26" t="s">
        <v>64</v>
      </c>
      <c r="B26" t="s">
        <v>48</v>
      </c>
      <c r="C26">
        <v>3.2858796417713165E-2</v>
      </c>
      <c r="D26">
        <v>-5.5776894092559814E-2</v>
      </c>
    </row>
    <row r="27" spans="1:4" x14ac:dyDescent="0.55000000000000004">
      <c r="A27" t="s">
        <v>54</v>
      </c>
      <c r="B27" t="s">
        <v>46</v>
      </c>
      <c r="C27">
        <v>-0.21348877251148224</v>
      </c>
      <c r="D27">
        <v>-0.20000000298023224</v>
      </c>
    </row>
    <row r="28" spans="1:4" x14ac:dyDescent="0.55000000000000004">
      <c r="A28" t="s">
        <v>52</v>
      </c>
      <c r="B28" t="s">
        <v>53</v>
      </c>
      <c r="C28">
        <v>5.0155822187662125E-2</v>
      </c>
      <c r="D28">
        <v>-3.125E-2</v>
      </c>
    </row>
    <row r="29" spans="1:4" x14ac:dyDescent="0.55000000000000004">
      <c r="A29" t="s">
        <v>65</v>
      </c>
      <c r="B29" t="s">
        <v>46</v>
      </c>
      <c r="C29">
        <v>-8.07386115193367E-2</v>
      </c>
      <c r="D29">
        <v>-0.20000000298023224</v>
      </c>
    </row>
    <row r="30" spans="1:4" x14ac:dyDescent="0.55000000000000004">
      <c r="A30" t="s">
        <v>60</v>
      </c>
      <c r="B30" t="s">
        <v>46</v>
      </c>
      <c r="C30">
        <v>-7.1886568330228329E-3</v>
      </c>
      <c r="D30">
        <v>-5.000000074505806E-2</v>
      </c>
    </row>
    <row r="31" spans="1:4" x14ac:dyDescent="0.55000000000000004">
      <c r="A31" t="s">
        <v>66</v>
      </c>
      <c r="B31" t="s">
        <v>59</v>
      </c>
      <c r="C31">
        <v>0.12660869956016541</v>
      </c>
      <c r="D31">
        <v>0</v>
      </c>
    </row>
    <row r="32" spans="1:4" x14ac:dyDescent="0.55000000000000004">
      <c r="A32" t="s">
        <v>67</v>
      </c>
      <c r="B32" t="s">
        <v>53</v>
      </c>
      <c r="C32">
        <v>-4.2453262954950333E-2</v>
      </c>
      <c r="D32">
        <v>-0.1116071417927742</v>
      </c>
    </row>
    <row r="33" spans="1:4" x14ac:dyDescent="0.55000000000000004">
      <c r="A33" t="s">
        <v>60</v>
      </c>
      <c r="B33" t="s">
        <v>59</v>
      </c>
      <c r="C33">
        <v>0.13171420991420746</v>
      </c>
      <c r="D33">
        <v>0</v>
      </c>
    </row>
    <row r="34" spans="1:4" x14ac:dyDescent="0.55000000000000004">
      <c r="A34" t="s">
        <v>68</v>
      </c>
      <c r="B34" t="s">
        <v>46</v>
      </c>
      <c r="C34">
        <v>-5.657389760017395E-2</v>
      </c>
      <c r="D34">
        <v>-5.55555559694767E-2</v>
      </c>
    </row>
    <row r="35" spans="1:4" x14ac:dyDescent="0.55000000000000004">
      <c r="A35" t="s">
        <v>69</v>
      </c>
      <c r="B35" t="s">
        <v>59</v>
      </c>
      <c r="C35">
        <v>-0.163850337266922</v>
      </c>
      <c r="D35">
        <v>0</v>
      </c>
    </row>
    <row r="36" spans="1:4" x14ac:dyDescent="0.55000000000000004">
      <c r="A36" t="s">
        <v>49</v>
      </c>
      <c r="B36" t="s">
        <v>48</v>
      </c>
      <c r="C36">
        <v>-1.4767681248486042E-2</v>
      </c>
      <c r="D36">
        <v>-7.5000002980232239E-2</v>
      </c>
    </row>
    <row r="37" spans="1:4" x14ac:dyDescent="0.55000000000000004">
      <c r="A37" t="s">
        <v>63</v>
      </c>
      <c r="B37" t="s">
        <v>51</v>
      </c>
      <c r="C37">
        <v>8.2941807806491852E-2</v>
      </c>
      <c r="D37">
        <v>-1.666666753590107E-2</v>
      </c>
    </row>
    <row r="38" spans="1:4" x14ac:dyDescent="0.55000000000000004">
      <c r="A38" t="s">
        <v>70</v>
      </c>
      <c r="B38" t="s">
        <v>59</v>
      </c>
      <c r="C38">
        <v>0.10912053287029266</v>
      </c>
      <c r="D38">
        <v>0</v>
      </c>
    </row>
    <row r="39" spans="1:4" x14ac:dyDescent="0.55000000000000004">
      <c r="A39" t="s">
        <v>50</v>
      </c>
      <c r="B39" t="s">
        <v>59</v>
      </c>
      <c r="C39">
        <v>3.6999091506004333E-2</v>
      </c>
      <c r="D39">
        <v>0</v>
      </c>
    </row>
    <row r="40" spans="1:4" x14ac:dyDescent="0.55000000000000004">
      <c r="A40" t="s">
        <v>60</v>
      </c>
      <c r="B40" t="s">
        <v>51</v>
      </c>
      <c r="C40">
        <v>6.6881142556667328E-2</v>
      </c>
      <c r="D40">
        <v>-2.4038461968302727E-2</v>
      </c>
    </row>
    <row r="41" spans="1:4" x14ac:dyDescent="0.55000000000000004">
      <c r="A41" t="s">
        <v>71</v>
      </c>
      <c r="B41" t="s">
        <v>46</v>
      </c>
      <c r="C41">
        <v>0.2069324254989624</v>
      </c>
      <c r="D41">
        <v>0</v>
      </c>
    </row>
    <row r="42" spans="1:4" x14ac:dyDescent="0.55000000000000004">
      <c r="A42" t="s">
        <v>72</v>
      </c>
      <c r="B42" t="s">
        <v>48</v>
      </c>
      <c r="C42">
        <v>2.7917256578803062E-2</v>
      </c>
      <c r="D42">
        <v>-7.58928582072258E-2</v>
      </c>
    </row>
    <row r="43" spans="1:4" x14ac:dyDescent="0.55000000000000004">
      <c r="A43" t="s">
        <v>61</v>
      </c>
      <c r="B43" t="s">
        <v>51</v>
      </c>
      <c r="C43">
        <v>0.16142421960830688</v>
      </c>
      <c r="D43">
        <v>0</v>
      </c>
    </row>
    <row r="44" spans="1:4" x14ac:dyDescent="0.55000000000000004">
      <c r="A44" t="s">
        <v>67</v>
      </c>
      <c r="B44" t="s">
        <v>53</v>
      </c>
      <c r="C44">
        <v>5.4018184542655945E-2</v>
      </c>
      <c r="D44">
        <v>-5.1724139600992203E-2</v>
      </c>
    </row>
    <row r="45" spans="1:4" x14ac:dyDescent="0.55000000000000004">
      <c r="A45" t="s">
        <v>45</v>
      </c>
      <c r="B45" t="s">
        <v>53</v>
      </c>
      <c r="C45">
        <v>-5.3670629858970642E-2</v>
      </c>
      <c r="D45">
        <v>-0.12295082211494446</v>
      </c>
    </row>
    <row r="46" spans="1:4" x14ac:dyDescent="0.55000000000000004">
      <c r="A46" t="s">
        <v>45</v>
      </c>
      <c r="B46" t="s">
        <v>53</v>
      </c>
      <c r="C46">
        <v>0.17134179174900055</v>
      </c>
      <c r="D46">
        <v>0</v>
      </c>
    </row>
    <row r="47" spans="1:4" x14ac:dyDescent="0.55000000000000004">
      <c r="A47" t="s">
        <v>72</v>
      </c>
      <c r="B47" t="s">
        <v>48</v>
      </c>
      <c r="C47">
        <v>5.8334250003099442E-2</v>
      </c>
      <c r="D47">
        <v>-3.7383176386356354E-2</v>
      </c>
    </row>
    <row r="48" spans="1:4" x14ac:dyDescent="0.55000000000000004">
      <c r="A48" t="s">
        <v>45</v>
      </c>
      <c r="B48" t="s">
        <v>53</v>
      </c>
      <c r="C48">
        <v>9.0305745601654053E-2</v>
      </c>
      <c r="D48">
        <v>-5.3359683603048325E-2</v>
      </c>
    </row>
    <row r="49" spans="1:4" x14ac:dyDescent="0.55000000000000004">
      <c r="A49" t="s">
        <v>49</v>
      </c>
      <c r="B49" t="s">
        <v>46</v>
      </c>
      <c r="C49">
        <v>0.10264313220977783</v>
      </c>
      <c r="D49">
        <v>-3.125E-2</v>
      </c>
    </row>
    <row r="50" spans="1:4" x14ac:dyDescent="0.55000000000000004">
      <c r="A50" t="s">
        <v>61</v>
      </c>
      <c r="B50" t="s">
        <v>46</v>
      </c>
      <c r="C50">
        <v>0.23978541791439056</v>
      </c>
      <c r="D50">
        <v>0</v>
      </c>
    </row>
    <row r="51" spans="1:4" x14ac:dyDescent="0.55000000000000004">
      <c r="A51" t="s">
        <v>56</v>
      </c>
      <c r="B51" t="s">
        <v>51</v>
      </c>
      <c r="C51">
        <v>5.6417867541313171E-2</v>
      </c>
      <c r="D51">
        <v>-4.1666667908430099E-2</v>
      </c>
    </row>
    <row r="52" spans="1:4" x14ac:dyDescent="0.55000000000000004">
      <c r="A52" t="s">
        <v>58</v>
      </c>
      <c r="B52" t="s">
        <v>53</v>
      </c>
      <c r="C52">
        <v>3.64234559237957E-2</v>
      </c>
      <c r="D52">
        <v>-7.374100387096405E-2</v>
      </c>
    </row>
    <row r="53" spans="1:4" x14ac:dyDescent="0.55000000000000004">
      <c r="A53" t="s">
        <v>62</v>
      </c>
      <c r="B53" t="s">
        <v>53</v>
      </c>
      <c r="C53">
        <v>2.5380590930581093E-2</v>
      </c>
      <c r="D53">
        <v>-6.3636362552642822E-2</v>
      </c>
    </row>
    <row r="54" spans="1:4" x14ac:dyDescent="0.55000000000000004">
      <c r="A54" t="s">
        <v>52</v>
      </c>
      <c r="B54" t="s">
        <v>51</v>
      </c>
      <c r="C54">
        <v>5.7081412523984909E-2</v>
      </c>
      <c r="D54">
        <v>-5.000000074505806E-2</v>
      </c>
    </row>
    <row r="55" spans="1:4" x14ac:dyDescent="0.55000000000000004">
      <c r="A55" t="s">
        <v>54</v>
      </c>
      <c r="B55" t="s">
        <v>53</v>
      </c>
      <c r="C55">
        <v>7.1124397218227386E-2</v>
      </c>
      <c r="D55">
        <v>-4.7029703855514526E-2</v>
      </c>
    </row>
    <row r="56" spans="1:4" x14ac:dyDescent="0.55000000000000004">
      <c r="A56" t="s">
        <v>52</v>
      </c>
      <c r="B56" t="s">
        <v>46</v>
      </c>
      <c r="C56">
        <v>9.447963535785675E-2</v>
      </c>
      <c r="D56">
        <v>-2.380952425301075E-2</v>
      </c>
    </row>
    <row r="57" spans="1:4" x14ac:dyDescent="0.55000000000000004">
      <c r="A57" t="s">
        <v>73</v>
      </c>
      <c r="B57" t="s">
        <v>51</v>
      </c>
      <c r="C57">
        <v>3.2379090785980225E-2</v>
      </c>
      <c r="D57">
        <v>-7.2093024849891663E-2</v>
      </c>
    </row>
    <row r="58" spans="1:4" x14ac:dyDescent="0.55000000000000004">
      <c r="A58" t="s">
        <v>74</v>
      </c>
      <c r="B58" t="s">
        <v>48</v>
      </c>
      <c r="C58">
        <v>6.5119072794914246E-2</v>
      </c>
      <c r="D58">
        <v>-0.1666666716337204</v>
      </c>
    </row>
    <row r="59" spans="1:4" x14ac:dyDescent="0.55000000000000004">
      <c r="A59" t="s">
        <v>58</v>
      </c>
      <c r="B59" t="s">
        <v>53</v>
      </c>
      <c r="C59">
        <v>0.11847678571939468</v>
      </c>
      <c r="D59">
        <v>0</v>
      </c>
    </row>
    <row r="60" spans="1:4" x14ac:dyDescent="0.55000000000000004">
      <c r="A60" t="s">
        <v>75</v>
      </c>
      <c r="B60" t="s">
        <v>53</v>
      </c>
      <c r="C60">
        <v>2.4288972839713097E-2</v>
      </c>
      <c r="D60">
        <v>0</v>
      </c>
    </row>
    <row r="61" spans="1:4" x14ac:dyDescent="0.55000000000000004">
      <c r="A61" t="s">
        <v>60</v>
      </c>
      <c r="B61" t="s">
        <v>46</v>
      </c>
      <c r="C61">
        <v>-1.7172902822494507E-2</v>
      </c>
      <c r="D61">
        <v>0</v>
      </c>
    </row>
    <row r="62" spans="1:4" x14ac:dyDescent="0.55000000000000004">
      <c r="A62" t="s">
        <v>74</v>
      </c>
      <c r="B62" t="s">
        <v>48</v>
      </c>
      <c r="C62">
        <v>0.11201182752847672</v>
      </c>
      <c r="D62">
        <v>-2.0134227350354195E-2</v>
      </c>
    </row>
    <row r="63" spans="1:4" x14ac:dyDescent="0.55000000000000004">
      <c r="A63" t="s">
        <v>50</v>
      </c>
      <c r="B63" t="s">
        <v>53</v>
      </c>
      <c r="C63">
        <v>1.0302788577973843E-2</v>
      </c>
      <c r="D63">
        <v>-4.0540538728237152E-2</v>
      </c>
    </row>
    <row r="64" spans="1:4" x14ac:dyDescent="0.55000000000000004">
      <c r="A64" t="s">
        <v>57</v>
      </c>
      <c r="B64" t="s">
        <v>53</v>
      </c>
      <c r="C64">
        <v>-2.2855538874864578E-2</v>
      </c>
      <c r="D64">
        <v>-8.7499998509883881E-2</v>
      </c>
    </row>
    <row r="65" spans="1:4" x14ac:dyDescent="0.55000000000000004">
      <c r="A65" t="s">
        <v>60</v>
      </c>
      <c r="B65" t="s">
        <v>53</v>
      </c>
      <c r="C65">
        <v>0.10707804560661316</v>
      </c>
      <c r="D65">
        <v>-1.5350877307355404E-2</v>
      </c>
    </row>
    <row r="66" spans="1:4" x14ac:dyDescent="0.55000000000000004">
      <c r="A66" t="s">
        <v>71</v>
      </c>
      <c r="B66" t="s">
        <v>53</v>
      </c>
      <c r="C66">
        <v>0.10018190741539001</v>
      </c>
      <c r="D66">
        <v>-1.5695067122578621E-2</v>
      </c>
    </row>
    <row r="67" spans="1:4" x14ac:dyDescent="0.55000000000000004">
      <c r="A67" t="s">
        <v>76</v>
      </c>
      <c r="B67" t="s">
        <v>46</v>
      </c>
      <c r="C67">
        <v>0.11756943166255951</v>
      </c>
      <c r="D67">
        <v>0</v>
      </c>
    </row>
    <row r="68" spans="1:4" x14ac:dyDescent="0.55000000000000004">
      <c r="A68" t="s">
        <v>70</v>
      </c>
      <c r="B68" t="s">
        <v>51</v>
      </c>
      <c r="C68">
        <v>4.9363810569047928E-2</v>
      </c>
      <c r="D68">
        <v>-3.9215687662363052E-2</v>
      </c>
    </row>
    <row r="69" spans="1:4" x14ac:dyDescent="0.55000000000000004">
      <c r="A69" t="s">
        <v>58</v>
      </c>
      <c r="B69" t="s">
        <v>46</v>
      </c>
      <c r="C69">
        <v>-0.24327534437179565</v>
      </c>
      <c r="D69">
        <v>-0.25</v>
      </c>
    </row>
    <row r="70" spans="1:4" x14ac:dyDescent="0.55000000000000004">
      <c r="A70" t="s">
        <v>67</v>
      </c>
      <c r="B70" t="s">
        <v>46</v>
      </c>
      <c r="C70">
        <v>-6.5815411508083344E-2</v>
      </c>
      <c r="D70">
        <v>-6.25E-2</v>
      </c>
    </row>
    <row r="71" spans="1:4" x14ac:dyDescent="0.55000000000000004">
      <c r="A71" t="s">
        <v>70</v>
      </c>
      <c r="B71" t="s">
        <v>51</v>
      </c>
      <c r="C71">
        <v>0.14701414108276367</v>
      </c>
      <c r="D71">
        <v>0</v>
      </c>
    </row>
    <row r="72" spans="1:4" x14ac:dyDescent="0.55000000000000004">
      <c r="A72" t="s">
        <v>54</v>
      </c>
      <c r="B72" t="s">
        <v>48</v>
      </c>
      <c r="C72">
        <v>6.1459988355636597E-2</v>
      </c>
      <c r="D72">
        <v>-5.000000074505806E-2</v>
      </c>
    </row>
    <row r="73" spans="1:4" x14ac:dyDescent="0.55000000000000004">
      <c r="A73" t="s">
        <v>52</v>
      </c>
      <c r="B73" t="s">
        <v>51</v>
      </c>
      <c r="C73">
        <v>0.11307145655155182</v>
      </c>
      <c r="D73">
        <v>-3.8461539894342422E-2</v>
      </c>
    </row>
    <row r="74" spans="1:4" x14ac:dyDescent="0.55000000000000004">
      <c r="A74" t="s">
        <v>68</v>
      </c>
      <c r="B74" t="s">
        <v>51</v>
      </c>
      <c r="C74">
        <v>9.9944986402988434E-2</v>
      </c>
      <c r="D74">
        <v>-8.6206896230578423E-3</v>
      </c>
    </row>
    <row r="75" spans="1:4" x14ac:dyDescent="0.55000000000000004">
      <c r="A75" t="s">
        <v>74</v>
      </c>
      <c r="B75" t="s">
        <v>46</v>
      </c>
      <c r="C75">
        <v>-0.33190101385116577</v>
      </c>
      <c r="D75">
        <v>-0.25</v>
      </c>
    </row>
    <row r="76" spans="1:4" x14ac:dyDescent="0.55000000000000004">
      <c r="A76" t="s">
        <v>64</v>
      </c>
      <c r="B76" t="s">
        <v>59</v>
      </c>
      <c r="C76">
        <v>0.15533523261547089</v>
      </c>
      <c r="D76">
        <v>0</v>
      </c>
    </row>
    <row r="77" spans="1:4" x14ac:dyDescent="0.55000000000000004">
      <c r="A77" t="s">
        <v>74</v>
      </c>
      <c r="B77" t="s">
        <v>46</v>
      </c>
      <c r="C77">
        <v>0.14725103974342346</v>
      </c>
      <c r="D77">
        <v>0</v>
      </c>
    </row>
    <row r="78" spans="1:4" x14ac:dyDescent="0.55000000000000004">
      <c r="A78" t="s">
        <v>74</v>
      </c>
      <c r="B78" t="s">
        <v>53</v>
      </c>
      <c r="C78">
        <v>4.6332448720932007E-2</v>
      </c>
      <c r="D78">
        <v>-3.378378227353096E-2</v>
      </c>
    </row>
    <row r="79" spans="1:4" x14ac:dyDescent="0.55000000000000004">
      <c r="A79" t="s">
        <v>60</v>
      </c>
      <c r="B79" t="s">
        <v>48</v>
      </c>
      <c r="C79">
        <v>9.6547156572341919E-2</v>
      </c>
      <c r="D79">
        <v>-2.5337837636470795E-2</v>
      </c>
    </row>
    <row r="80" spans="1:4" x14ac:dyDescent="0.55000000000000004">
      <c r="A80" t="s">
        <v>77</v>
      </c>
      <c r="B80" t="s">
        <v>46</v>
      </c>
      <c r="C80">
        <v>7.8325897455215454E-2</v>
      </c>
      <c r="D80">
        <v>0</v>
      </c>
    </row>
    <row r="81" spans="1:4" x14ac:dyDescent="0.55000000000000004">
      <c r="A81" t="s">
        <v>78</v>
      </c>
      <c r="B81" t="s">
        <v>46</v>
      </c>
      <c r="C81">
        <v>8.0509021878242493E-2</v>
      </c>
      <c r="D81">
        <v>0</v>
      </c>
    </row>
    <row r="82" spans="1:4" x14ac:dyDescent="0.55000000000000004">
      <c r="A82" t="s">
        <v>72</v>
      </c>
      <c r="B82" t="s">
        <v>46</v>
      </c>
      <c r="C82">
        <v>0.11823781579732895</v>
      </c>
      <c r="D82">
        <v>8.3333335816860199E-2</v>
      </c>
    </row>
    <row r="83" spans="1:4" x14ac:dyDescent="0.55000000000000004">
      <c r="A83" t="s">
        <v>74</v>
      </c>
      <c r="B83" t="s">
        <v>53</v>
      </c>
      <c r="C83">
        <v>8.5159763693809509E-2</v>
      </c>
      <c r="D83">
        <v>-2.4390242993831635E-2</v>
      </c>
    </row>
    <row r="84" spans="1:4" x14ac:dyDescent="0.55000000000000004">
      <c r="A84" t="s">
        <v>50</v>
      </c>
      <c r="B84" t="s">
        <v>53</v>
      </c>
      <c r="C84">
        <v>8.7361425161361694E-2</v>
      </c>
      <c r="D84">
        <v>-3.9999999105930328E-2</v>
      </c>
    </row>
    <row r="85" spans="1:4" x14ac:dyDescent="0.55000000000000004">
      <c r="A85" t="s">
        <v>78</v>
      </c>
      <c r="B85" t="s">
        <v>46</v>
      </c>
      <c r="C85">
        <v>-0.23801882565021515</v>
      </c>
      <c r="D85">
        <v>-0.3333333432674408</v>
      </c>
    </row>
    <row r="86" spans="1:4" x14ac:dyDescent="0.55000000000000004">
      <c r="A86" t="s">
        <v>63</v>
      </c>
      <c r="B86" t="s">
        <v>46</v>
      </c>
      <c r="C86">
        <v>-0.32816386222839355</v>
      </c>
      <c r="D86">
        <v>-0.28571429848670959</v>
      </c>
    </row>
    <row r="87" spans="1:4" x14ac:dyDescent="0.55000000000000004">
      <c r="A87" t="s">
        <v>70</v>
      </c>
      <c r="B87" t="s">
        <v>48</v>
      </c>
      <c r="C87">
        <v>0.12530668079853058</v>
      </c>
      <c r="D87">
        <v>3.2679738942533731E-3</v>
      </c>
    </row>
    <row r="88" spans="1:4" x14ac:dyDescent="0.55000000000000004">
      <c r="A88" t="s">
        <v>62</v>
      </c>
      <c r="B88" t="s">
        <v>46</v>
      </c>
      <c r="C88">
        <v>0.19057905673980713</v>
      </c>
      <c r="D88">
        <v>0.125</v>
      </c>
    </row>
    <row r="89" spans="1:4" x14ac:dyDescent="0.55000000000000004">
      <c r="A89" t="s">
        <v>74</v>
      </c>
      <c r="B89" t="s">
        <v>53</v>
      </c>
      <c r="C89">
        <v>0.11723713576793671</v>
      </c>
      <c r="D89">
        <v>-5.55555559694767E-2</v>
      </c>
    </row>
    <row r="90" spans="1:4" x14ac:dyDescent="0.55000000000000004">
      <c r="A90" t="s">
        <v>60</v>
      </c>
      <c r="B90" t="s">
        <v>59</v>
      </c>
      <c r="C90">
        <v>-0.17523591220378876</v>
      </c>
      <c r="D90">
        <v>-0.25</v>
      </c>
    </row>
    <row r="91" spans="1:4" x14ac:dyDescent="0.55000000000000004">
      <c r="A91" t="s">
        <v>58</v>
      </c>
      <c r="B91" t="s">
        <v>46</v>
      </c>
      <c r="C91">
        <v>-9.401308000087738E-2</v>
      </c>
      <c r="D91">
        <v>-0.1428571492433548</v>
      </c>
    </row>
    <row r="92" spans="1:4" x14ac:dyDescent="0.55000000000000004">
      <c r="A92" t="s">
        <v>52</v>
      </c>
      <c r="B92" t="s">
        <v>48</v>
      </c>
      <c r="C92">
        <v>1.6017930582165718E-2</v>
      </c>
      <c r="D92">
        <v>-9.2105261981487274E-2</v>
      </c>
    </row>
    <row r="93" spans="1:4" x14ac:dyDescent="0.55000000000000004">
      <c r="A93" t="s">
        <v>70</v>
      </c>
      <c r="B93" t="s">
        <v>48</v>
      </c>
      <c r="C93">
        <v>7.965628057718277E-2</v>
      </c>
      <c r="D93">
        <v>-4.285714402794838E-2</v>
      </c>
    </row>
    <row r="94" spans="1:4" x14ac:dyDescent="0.55000000000000004">
      <c r="A94" t="s">
        <v>61</v>
      </c>
      <c r="B94" t="s">
        <v>53</v>
      </c>
      <c r="C94">
        <v>-3.2569363713264465E-2</v>
      </c>
      <c r="D94">
        <v>-7.6923079788684845E-2</v>
      </c>
    </row>
    <row r="95" spans="1:4" x14ac:dyDescent="0.55000000000000004">
      <c r="A95" t="s">
        <v>55</v>
      </c>
      <c r="B95" t="s">
        <v>48</v>
      </c>
      <c r="C95">
        <v>1.927947998046875E-2</v>
      </c>
      <c r="D95">
        <v>-7.0247933268547058E-2</v>
      </c>
    </row>
    <row r="96" spans="1:4" x14ac:dyDescent="0.55000000000000004">
      <c r="A96" t="s">
        <v>52</v>
      </c>
      <c r="B96" t="s">
        <v>51</v>
      </c>
      <c r="C96">
        <v>4.2171668261289597E-2</v>
      </c>
      <c r="D96">
        <v>-3.5714287310838699E-2</v>
      </c>
    </row>
    <row r="97" spans="1:4" x14ac:dyDescent="0.55000000000000004">
      <c r="A97" t="s">
        <v>71</v>
      </c>
      <c r="B97" t="s">
        <v>53</v>
      </c>
      <c r="C97">
        <v>5.1381289958953857E-2</v>
      </c>
      <c r="D97">
        <v>-4.9122806638479233E-2</v>
      </c>
    </row>
    <row r="98" spans="1:4" x14ac:dyDescent="0.55000000000000004">
      <c r="A98" t="s">
        <v>67</v>
      </c>
      <c r="B98" t="s">
        <v>48</v>
      </c>
      <c r="C98">
        <v>8.1068724393844604E-2</v>
      </c>
      <c r="D98">
        <v>-3.4403670579195023E-2</v>
      </c>
    </row>
    <row r="99" spans="1:4" x14ac:dyDescent="0.55000000000000004">
      <c r="A99" t="s">
        <v>79</v>
      </c>
      <c r="B99" t="s">
        <v>48</v>
      </c>
      <c r="C99">
        <v>0.35419544577598572</v>
      </c>
      <c r="D99">
        <v>0.25</v>
      </c>
    </row>
    <row r="100" spans="1:4" x14ac:dyDescent="0.55000000000000004">
      <c r="A100" t="s">
        <v>56</v>
      </c>
      <c r="B100" t="s">
        <v>48</v>
      </c>
      <c r="C100">
        <v>4.8883989453315735E-2</v>
      </c>
      <c r="D100">
        <v>-5.8139536529779434E-2</v>
      </c>
    </row>
    <row r="101" spans="1:4" x14ac:dyDescent="0.55000000000000004">
      <c r="A101" t="s">
        <v>50</v>
      </c>
      <c r="B101" t="s">
        <v>46</v>
      </c>
      <c r="C101">
        <v>4.9402136355638504E-3</v>
      </c>
      <c r="D101">
        <v>-7.1428574621677399E-2</v>
      </c>
    </row>
    <row r="102" spans="1:4" x14ac:dyDescent="0.55000000000000004">
      <c r="A102" t="s">
        <v>63</v>
      </c>
      <c r="B102" t="s">
        <v>48</v>
      </c>
      <c r="C102">
        <v>0.10734700411558151</v>
      </c>
      <c r="D102">
        <v>5.0505050458014011E-3</v>
      </c>
    </row>
    <row r="103" spans="1:4" x14ac:dyDescent="0.55000000000000004">
      <c r="A103" t="s">
        <v>54</v>
      </c>
      <c r="B103" t="s">
        <v>53</v>
      </c>
      <c r="C103">
        <v>-0.2859724760055542</v>
      </c>
      <c r="D103">
        <v>0</v>
      </c>
    </row>
    <row r="104" spans="1:4" x14ac:dyDescent="0.55000000000000004">
      <c r="A104" t="s">
        <v>65</v>
      </c>
      <c r="B104" t="s">
        <v>53</v>
      </c>
      <c r="C104">
        <v>3.4194659441709518E-2</v>
      </c>
      <c r="D104">
        <v>-4.5126352459192276E-2</v>
      </c>
    </row>
    <row r="105" spans="1:4" x14ac:dyDescent="0.55000000000000004">
      <c r="A105" t="s">
        <v>71</v>
      </c>
      <c r="B105" t="s">
        <v>53</v>
      </c>
      <c r="C105">
        <v>0.14628414809703827</v>
      </c>
      <c r="D105">
        <v>3.5714287310838699E-2</v>
      </c>
    </row>
    <row r="106" spans="1:4" x14ac:dyDescent="0.55000000000000004">
      <c r="A106" t="s">
        <v>45</v>
      </c>
      <c r="B106" t="s">
        <v>51</v>
      </c>
      <c r="C106">
        <v>7.2602042928338051E-3</v>
      </c>
      <c r="D106">
        <v>-6.6666670143604279E-2</v>
      </c>
    </row>
    <row r="107" spans="1:4" x14ac:dyDescent="0.55000000000000004">
      <c r="A107" t="s">
        <v>62</v>
      </c>
      <c r="B107" t="s">
        <v>48</v>
      </c>
      <c r="C107">
        <v>0.1072038933634758</v>
      </c>
      <c r="D107">
        <v>-8.7108016014099121E-3</v>
      </c>
    </row>
    <row r="108" spans="1:4" x14ac:dyDescent="0.55000000000000004">
      <c r="A108" t="s">
        <v>73</v>
      </c>
      <c r="B108" t="s">
        <v>48</v>
      </c>
      <c r="C108">
        <v>3.3379655331373215E-2</v>
      </c>
      <c r="D108">
        <v>-6.7039109766483307E-2</v>
      </c>
    </row>
    <row r="109" spans="1:4" x14ac:dyDescent="0.55000000000000004">
      <c r="A109" t="s">
        <v>49</v>
      </c>
      <c r="B109" t="s">
        <v>53</v>
      </c>
      <c r="C109">
        <v>0.12768690288066864</v>
      </c>
      <c r="D109">
        <v>-2.3364485241472721E-3</v>
      </c>
    </row>
    <row r="110" spans="1:4" x14ac:dyDescent="0.55000000000000004">
      <c r="A110" t="s">
        <v>69</v>
      </c>
      <c r="B110" t="s">
        <v>46</v>
      </c>
      <c r="C110">
        <v>-5.0318147987127304E-2</v>
      </c>
      <c r="D110">
        <v>0</v>
      </c>
    </row>
    <row r="111" spans="1:4" x14ac:dyDescent="0.55000000000000004">
      <c r="A111" t="s">
        <v>50</v>
      </c>
      <c r="B111" t="s">
        <v>48</v>
      </c>
      <c r="C111">
        <v>5.0315838307142258E-2</v>
      </c>
      <c r="D111">
        <v>-5.8252427726984024E-2</v>
      </c>
    </row>
    <row r="112" spans="1:4" x14ac:dyDescent="0.55000000000000004">
      <c r="A112" t="s">
        <v>61</v>
      </c>
      <c r="B112" t="s">
        <v>46</v>
      </c>
      <c r="C112">
        <v>0.15452113747596741</v>
      </c>
      <c r="D112">
        <v>0</v>
      </c>
    </row>
    <row r="113" spans="1:4" x14ac:dyDescent="0.55000000000000004">
      <c r="A113" t="s">
        <v>71</v>
      </c>
      <c r="B113" t="s">
        <v>46</v>
      </c>
      <c r="C113">
        <v>0.14829136431217194</v>
      </c>
      <c r="D113">
        <v>7.1428574621677399E-2</v>
      </c>
    </row>
    <row r="114" spans="1:4" x14ac:dyDescent="0.55000000000000004">
      <c r="A114" t="s">
        <v>75</v>
      </c>
      <c r="B114" t="s">
        <v>48</v>
      </c>
      <c r="C114">
        <v>7.1222536265850067E-2</v>
      </c>
      <c r="D114">
        <v>-3.5714287310838699E-2</v>
      </c>
    </row>
    <row r="115" spans="1:4" x14ac:dyDescent="0.55000000000000004">
      <c r="A115" t="s">
        <v>67</v>
      </c>
      <c r="B115" t="s">
        <v>51</v>
      </c>
      <c r="C115">
        <v>6.6003903746604919E-2</v>
      </c>
      <c r="D115">
        <v>-1.7751479521393776E-2</v>
      </c>
    </row>
    <row r="116" spans="1:4" x14ac:dyDescent="0.55000000000000004">
      <c r="A116" t="s">
        <v>71</v>
      </c>
      <c r="B116" t="s">
        <v>46</v>
      </c>
      <c r="C116">
        <v>0.50032168626785278</v>
      </c>
      <c r="D116">
        <v>0</v>
      </c>
    </row>
    <row r="117" spans="1:4" x14ac:dyDescent="0.55000000000000004">
      <c r="A117" t="s">
        <v>50</v>
      </c>
      <c r="B117" t="s">
        <v>48</v>
      </c>
      <c r="C117">
        <v>5.167679488658905E-2</v>
      </c>
      <c r="D117">
        <v>-6.2043797224760056E-2</v>
      </c>
    </row>
    <row r="118" spans="1:4" x14ac:dyDescent="0.55000000000000004">
      <c r="A118" t="s">
        <v>76</v>
      </c>
      <c r="B118" t="s">
        <v>48</v>
      </c>
      <c r="C118">
        <v>0.78587418794631958</v>
      </c>
      <c r="D118">
        <v>1</v>
      </c>
    </row>
    <row r="119" spans="1:4" x14ac:dyDescent="0.55000000000000004">
      <c r="A119" t="s">
        <v>68</v>
      </c>
      <c r="B119" t="s">
        <v>53</v>
      </c>
      <c r="C119">
        <v>9.0215494856238365E-3</v>
      </c>
      <c r="D119">
        <v>-7.0552147924900055E-2</v>
      </c>
    </row>
    <row r="120" spans="1:4" x14ac:dyDescent="0.55000000000000004">
      <c r="A120" t="s">
        <v>58</v>
      </c>
      <c r="B120" t="s">
        <v>51</v>
      </c>
      <c r="C120">
        <v>8.4154069423675537E-2</v>
      </c>
      <c r="D120">
        <v>-3.0701754614710808E-2</v>
      </c>
    </row>
    <row r="121" spans="1:4" x14ac:dyDescent="0.55000000000000004">
      <c r="A121" t="s">
        <v>56</v>
      </c>
      <c r="B121" t="s">
        <v>53</v>
      </c>
      <c r="C121">
        <v>6.1436157673597336E-2</v>
      </c>
      <c r="D121">
        <v>-4.1139241307973862E-2</v>
      </c>
    </row>
    <row r="122" spans="1:4" x14ac:dyDescent="0.55000000000000004">
      <c r="A122" t="s">
        <v>65</v>
      </c>
      <c r="B122" t="s">
        <v>48</v>
      </c>
      <c r="C122">
        <v>0.16783921420574188</v>
      </c>
      <c r="D122">
        <v>1.5037594363093376E-2</v>
      </c>
    </row>
    <row r="123" spans="1:4" x14ac:dyDescent="0.55000000000000004">
      <c r="A123" t="s">
        <v>63</v>
      </c>
      <c r="B123" t="s">
        <v>48</v>
      </c>
      <c r="C123">
        <v>-4.8019316047430038E-2</v>
      </c>
      <c r="D123">
        <v>-0.13333334028720856</v>
      </c>
    </row>
    <row r="124" spans="1:4" x14ac:dyDescent="0.55000000000000004">
      <c r="A124" t="s">
        <v>49</v>
      </c>
      <c r="B124" t="s">
        <v>51</v>
      </c>
      <c r="C124">
        <v>0.1057746484875679</v>
      </c>
      <c r="D124">
        <v>0</v>
      </c>
    </row>
    <row r="125" spans="1:4" x14ac:dyDescent="0.55000000000000004">
      <c r="A125" t="s">
        <v>79</v>
      </c>
      <c r="B125" t="s">
        <v>46</v>
      </c>
      <c r="C125">
        <v>0.18799333274364471</v>
      </c>
      <c r="D125">
        <v>0</v>
      </c>
    </row>
    <row r="126" spans="1:4" x14ac:dyDescent="0.55000000000000004">
      <c r="A126" t="s">
        <v>74</v>
      </c>
      <c r="B126" t="s">
        <v>51</v>
      </c>
      <c r="C126">
        <v>-0.46153703331947327</v>
      </c>
      <c r="D126">
        <v>-0.3333333432674408</v>
      </c>
    </row>
    <row r="127" spans="1:4" x14ac:dyDescent="0.55000000000000004">
      <c r="A127" t="s">
        <v>69</v>
      </c>
      <c r="B127" t="s">
        <v>48</v>
      </c>
      <c r="C127">
        <v>2.6516055688261986E-2</v>
      </c>
      <c r="D127">
        <v>-8.3333335816860199E-2</v>
      </c>
    </row>
    <row r="128" spans="1:4" x14ac:dyDescent="0.55000000000000004">
      <c r="A128" t="s">
        <v>64</v>
      </c>
      <c r="B128" t="s">
        <v>48</v>
      </c>
      <c r="C128">
        <v>9.2767320573329926E-2</v>
      </c>
      <c r="D128">
        <v>-1.2121211737394333E-2</v>
      </c>
    </row>
    <row r="129" spans="1:4" x14ac:dyDescent="0.55000000000000004">
      <c r="A129" t="s">
        <v>79</v>
      </c>
      <c r="B129" t="s">
        <v>46</v>
      </c>
      <c r="C129">
        <v>0.15533523261547089</v>
      </c>
      <c r="D129">
        <v>0</v>
      </c>
    </row>
    <row r="130" spans="1:4" x14ac:dyDescent="0.55000000000000004">
      <c r="A130" t="s">
        <v>78</v>
      </c>
      <c r="B130" t="s">
        <v>53</v>
      </c>
      <c r="C130">
        <v>0.11233850568532944</v>
      </c>
      <c r="D130">
        <v>-5.3191490471363068E-2</v>
      </c>
    </row>
    <row r="131" spans="1:4" x14ac:dyDescent="0.55000000000000004">
      <c r="A131" t="s">
        <v>78</v>
      </c>
      <c r="B131" t="s">
        <v>48</v>
      </c>
      <c r="C131">
        <v>8.7970040738582611E-2</v>
      </c>
      <c r="D131">
        <v>-5.3030304610729218E-2</v>
      </c>
    </row>
    <row r="132" spans="1:4" x14ac:dyDescent="0.55000000000000004">
      <c r="A132" t="s">
        <v>66</v>
      </c>
      <c r="B132" t="s">
        <v>53</v>
      </c>
      <c r="C132">
        <v>-5.3681270219385624E-3</v>
      </c>
      <c r="D132">
        <v>-7.1428574621677399E-2</v>
      </c>
    </row>
    <row r="133" spans="1:4" x14ac:dyDescent="0.55000000000000004">
      <c r="A133" t="s">
        <v>80</v>
      </c>
      <c r="B133" t="s">
        <v>46</v>
      </c>
      <c r="C133">
        <v>-0.10863397270441055</v>
      </c>
      <c r="D133">
        <v>-0.10000000149011612</v>
      </c>
    </row>
    <row r="134" spans="1:4" x14ac:dyDescent="0.55000000000000004">
      <c r="A134" t="s">
        <v>65</v>
      </c>
      <c r="B134" t="s">
        <v>46</v>
      </c>
      <c r="C134">
        <v>0.10157260298728943</v>
      </c>
      <c r="D134">
        <v>0</v>
      </c>
    </row>
    <row r="135" spans="1:4" x14ac:dyDescent="0.55000000000000004">
      <c r="A135" t="s">
        <v>64</v>
      </c>
      <c r="B135" t="s">
        <v>46</v>
      </c>
      <c r="C135">
        <v>-1.6154538840055466E-2</v>
      </c>
      <c r="D135">
        <v>-9.6153847873210907E-2</v>
      </c>
    </row>
    <row r="136" spans="1:4" x14ac:dyDescent="0.55000000000000004">
      <c r="A136" t="s">
        <v>67</v>
      </c>
      <c r="B136" t="s">
        <v>53</v>
      </c>
      <c r="C136">
        <v>9.7192943096160889E-2</v>
      </c>
      <c r="D136">
        <v>-8.287292905151844E-3</v>
      </c>
    </row>
    <row r="137" spans="1:4" x14ac:dyDescent="0.55000000000000004">
      <c r="A137" t="s">
        <v>64</v>
      </c>
      <c r="B137" t="s">
        <v>51</v>
      </c>
      <c r="C137">
        <v>7.1492791175842285E-2</v>
      </c>
      <c r="D137">
        <v>-4.5454546809196472E-2</v>
      </c>
    </row>
    <row r="138" spans="1:4" x14ac:dyDescent="0.55000000000000004">
      <c r="A138" t="s">
        <v>72</v>
      </c>
      <c r="B138" t="s">
        <v>48</v>
      </c>
      <c r="C138">
        <v>4.6285558491945267E-2</v>
      </c>
      <c r="D138">
        <v>-4.5627377927303314E-2</v>
      </c>
    </row>
    <row r="139" spans="1:4" x14ac:dyDescent="0.55000000000000004">
      <c r="A139" t="s">
        <v>72</v>
      </c>
      <c r="B139" t="s">
        <v>51</v>
      </c>
      <c r="C139">
        <v>9.8322346806526184E-2</v>
      </c>
      <c r="D139">
        <v>-2.4904213845729828E-2</v>
      </c>
    </row>
    <row r="140" spans="1:4" x14ac:dyDescent="0.55000000000000004">
      <c r="A140" t="s">
        <v>73</v>
      </c>
      <c r="B140" t="s">
        <v>48</v>
      </c>
      <c r="C140">
        <v>7.6241932809352875E-2</v>
      </c>
      <c r="D140">
        <v>-3.8461539894342422E-2</v>
      </c>
    </row>
    <row r="141" spans="1:4" x14ac:dyDescent="0.55000000000000004">
      <c r="A141" t="s">
        <v>68</v>
      </c>
      <c r="B141" t="s">
        <v>48</v>
      </c>
      <c r="C141">
        <v>3.2989032566547394E-2</v>
      </c>
      <c r="D141">
        <v>-7.2727270424365997E-2</v>
      </c>
    </row>
    <row r="142" spans="1:4" x14ac:dyDescent="0.55000000000000004">
      <c r="A142" t="s">
        <v>54</v>
      </c>
      <c r="B142" t="s">
        <v>51</v>
      </c>
      <c r="C142">
        <v>-1.1297623626887798E-2</v>
      </c>
      <c r="D142">
        <v>-7.1428574621677399E-2</v>
      </c>
    </row>
    <row r="143" spans="1:4" x14ac:dyDescent="0.55000000000000004">
      <c r="A143" t="s">
        <v>61</v>
      </c>
      <c r="B143" t="s">
        <v>51</v>
      </c>
      <c r="C143">
        <v>3.5273004323244095E-2</v>
      </c>
      <c r="D143">
        <v>-3.2608695328235626E-2</v>
      </c>
    </row>
    <row r="144" spans="1:4" x14ac:dyDescent="0.55000000000000004">
      <c r="A144" t="s">
        <v>50</v>
      </c>
      <c r="B144" t="s">
        <v>51</v>
      </c>
      <c r="C144">
        <v>8.3589009940624237E-2</v>
      </c>
      <c r="D144">
        <v>-5.0847455859184265E-2</v>
      </c>
    </row>
    <row r="145" spans="1:4" x14ac:dyDescent="0.55000000000000004">
      <c r="A145" t="s">
        <v>52</v>
      </c>
      <c r="B145" t="s">
        <v>46</v>
      </c>
      <c r="C145">
        <v>5.8414814993739128E-3</v>
      </c>
      <c r="D145">
        <v>-3.125E-2</v>
      </c>
    </row>
    <row r="146" spans="1:4" x14ac:dyDescent="0.55000000000000004">
      <c r="A146" t="s">
        <v>68</v>
      </c>
      <c r="B146" t="s">
        <v>53</v>
      </c>
      <c r="C146">
        <v>5.9091489762067795E-2</v>
      </c>
      <c r="D146">
        <v>-3.8235295563936234E-2</v>
      </c>
    </row>
    <row r="147" spans="1:4" x14ac:dyDescent="0.55000000000000004">
      <c r="A147" t="s">
        <v>61</v>
      </c>
      <c r="B147" t="s">
        <v>48</v>
      </c>
      <c r="C147">
        <v>0.22421164810657501</v>
      </c>
      <c r="D147">
        <v>0</v>
      </c>
    </row>
    <row r="148" spans="1:4" x14ac:dyDescent="0.55000000000000004">
      <c r="A148" t="s">
        <v>69</v>
      </c>
      <c r="B148" t="s">
        <v>46</v>
      </c>
      <c r="C148">
        <v>-0.1779169887304306</v>
      </c>
      <c r="D148">
        <v>-0.20000000298023224</v>
      </c>
    </row>
    <row r="149" spans="1:4" x14ac:dyDescent="0.55000000000000004">
      <c r="A149" t="s">
        <v>50</v>
      </c>
      <c r="B149" t="s">
        <v>53</v>
      </c>
      <c r="C149">
        <v>5.6989613920450211E-2</v>
      </c>
      <c r="D149">
        <v>-5.8394160121679306E-2</v>
      </c>
    </row>
    <row r="150" spans="1:4" x14ac:dyDescent="0.55000000000000004">
      <c r="A150" t="s">
        <v>58</v>
      </c>
      <c r="B150" t="s">
        <v>59</v>
      </c>
      <c r="C150">
        <v>-2.2193198092281818E-3</v>
      </c>
      <c r="D150">
        <v>0</v>
      </c>
    </row>
    <row r="151" spans="1:4" x14ac:dyDescent="0.55000000000000004">
      <c r="A151" t="s">
        <v>69</v>
      </c>
      <c r="B151" t="s">
        <v>46</v>
      </c>
      <c r="C151">
        <v>5.4041337221860886E-2</v>
      </c>
      <c r="D151">
        <v>0</v>
      </c>
    </row>
    <row r="152" spans="1:4" x14ac:dyDescent="0.55000000000000004">
      <c r="A152" t="s">
        <v>68</v>
      </c>
      <c r="B152" t="s">
        <v>48</v>
      </c>
      <c r="C152">
        <v>0.17411348223686218</v>
      </c>
      <c r="D152">
        <v>0</v>
      </c>
    </row>
    <row r="153" spans="1:4" x14ac:dyDescent="0.55000000000000004">
      <c r="A153" t="s">
        <v>79</v>
      </c>
      <c r="B153" t="s">
        <v>46</v>
      </c>
      <c r="C153">
        <v>0.12981651723384857</v>
      </c>
      <c r="D153">
        <v>0</v>
      </c>
    </row>
    <row r="154" spans="1:4" x14ac:dyDescent="0.55000000000000004">
      <c r="A154" t="s">
        <v>69</v>
      </c>
      <c r="B154" t="s">
        <v>46</v>
      </c>
      <c r="C154">
        <v>7.2922982275485992E-2</v>
      </c>
      <c r="D154">
        <v>-5.2631579339504242E-2</v>
      </c>
    </row>
    <row r="155" spans="1:4" x14ac:dyDescent="0.55000000000000004">
      <c r="A155" t="s">
        <v>47</v>
      </c>
      <c r="B155" t="s">
        <v>51</v>
      </c>
      <c r="C155">
        <v>0.20113880932331085</v>
      </c>
      <c r="D155">
        <v>2.500000037252903E-2</v>
      </c>
    </row>
    <row r="156" spans="1:4" x14ac:dyDescent="0.55000000000000004">
      <c r="A156" t="s">
        <v>65</v>
      </c>
      <c r="B156" t="s">
        <v>51</v>
      </c>
      <c r="C156">
        <v>-0.12103200703859329</v>
      </c>
      <c r="D156">
        <v>-0.3333333432674408</v>
      </c>
    </row>
    <row r="157" spans="1:4" x14ac:dyDescent="0.55000000000000004">
      <c r="A157" t="s">
        <v>81</v>
      </c>
      <c r="B157" t="s">
        <v>53</v>
      </c>
      <c r="C157">
        <v>7.3260888457298279E-2</v>
      </c>
      <c r="D157">
        <v>-1.9230769947171211E-2</v>
      </c>
    </row>
    <row r="158" spans="1:4" x14ac:dyDescent="0.55000000000000004">
      <c r="A158" t="s">
        <v>45</v>
      </c>
      <c r="B158" t="s">
        <v>46</v>
      </c>
      <c r="C158">
        <v>-0.16502268612384796</v>
      </c>
      <c r="D158">
        <v>0</v>
      </c>
    </row>
    <row r="159" spans="1:4" x14ac:dyDescent="0.55000000000000004">
      <c r="A159" t="s">
        <v>49</v>
      </c>
      <c r="B159" t="s">
        <v>46</v>
      </c>
      <c r="C159">
        <v>1.4338335953652859E-2</v>
      </c>
      <c r="D159">
        <v>-7.352941483259201E-2</v>
      </c>
    </row>
    <row r="160" spans="1:4" x14ac:dyDescent="0.55000000000000004">
      <c r="A160" t="s">
        <v>50</v>
      </c>
      <c r="B160" t="s">
        <v>46</v>
      </c>
      <c r="C160">
        <v>-6.306951493024826E-2</v>
      </c>
      <c r="D160">
        <v>-0.12903225421905518</v>
      </c>
    </row>
    <row r="161" spans="1:4" x14ac:dyDescent="0.55000000000000004">
      <c r="A161" t="s">
        <v>66</v>
      </c>
      <c r="B161" t="s">
        <v>46</v>
      </c>
      <c r="C161">
        <v>-9.3135610222816467E-3</v>
      </c>
      <c r="D161">
        <v>8.3333335816860199E-2</v>
      </c>
    </row>
    <row r="162" spans="1:4" x14ac:dyDescent="0.55000000000000004">
      <c r="A162" t="s">
        <v>67</v>
      </c>
      <c r="B162" t="s">
        <v>46</v>
      </c>
      <c r="C162">
        <v>-0.19568143784999847</v>
      </c>
      <c r="D162">
        <v>-0.125</v>
      </c>
    </row>
    <row r="163" spans="1:4" x14ac:dyDescent="0.55000000000000004">
      <c r="A163" t="s">
        <v>47</v>
      </c>
      <c r="B163" t="s">
        <v>46</v>
      </c>
      <c r="C163">
        <v>4.082847386598587E-2</v>
      </c>
      <c r="D163">
        <v>-3.7735849618911743E-2</v>
      </c>
    </row>
    <row r="164" spans="1:4" x14ac:dyDescent="0.55000000000000004">
      <c r="A164" t="s">
        <v>71</v>
      </c>
      <c r="B164" t="s">
        <v>46</v>
      </c>
      <c r="C164">
        <v>-0.20663143694400787</v>
      </c>
      <c r="D164">
        <v>-0.23684211075305939</v>
      </c>
    </row>
    <row r="165" spans="1:4" x14ac:dyDescent="0.55000000000000004">
      <c r="A165" t="s">
        <v>45</v>
      </c>
      <c r="B165" t="s">
        <v>46</v>
      </c>
      <c r="C165">
        <v>-0.13518580794334412</v>
      </c>
      <c r="D165">
        <v>-0.1666666716337204</v>
      </c>
    </row>
    <row r="166" spans="1:4" x14ac:dyDescent="0.55000000000000004">
      <c r="A166" t="s">
        <v>77</v>
      </c>
      <c r="B166" t="s">
        <v>46</v>
      </c>
      <c r="C166">
        <v>7.6137177646160126E-2</v>
      </c>
      <c r="D166">
        <v>0</v>
      </c>
    </row>
    <row r="167" spans="1:4" x14ac:dyDescent="0.55000000000000004">
      <c r="A167" t="s">
        <v>49</v>
      </c>
      <c r="B167" t="s">
        <v>59</v>
      </c>
      <c r="C167">
        <v>9.5825605094432831E-2</v>
      </c>
      <c r="D167">
        <v>0</v>
      </c>
    </row>
    <row r="168" spans="1:4" x14ac:dyDescent="0.55000000000000004">
      <c r="A168" t="s">
        <v>49</v>
      </c>
      <c r="B168" t="s">
        <v>59</v>
      </c>
      <c r="C168">
        <v>-4.1211389005184174E-2</v>
      </c>
      <c r="D168">
        <v>0</v>
      </c>
    </row>
    <row r="169" spans="1:4" x14ac:dyDescent="0.55000000000000004">
      <c r="A169" t="s">
        <v>61</v>
      </c>
      <c r="B169" t="s">
        <v>59</v>
      </c>
      <c r="C169">
        <v>0.14952817559242249</v>
      </c>
      <c r="D169">
        <v>0</v>
      </c>
    </row>
    <row r="170" spans="1:4" x14ac:dyDescent="0.55000000000000004">
      <c r="A170" t="s">
        <v>69</v>
      </c>
      <c r="B170" t="s">
        <v>51</v>
      </c>
      <c r="C170">
        <v>7.1335375308990479E-2</v>
      </c>
      <c r="D170">
        <v>-4.0229886770248413E-2</v>
      </c>
    </row>
    <row r="171" spans="1:4" x14ac:dyDescent="0.55000000000000004">
      <c r="A171" t="s">
        <v>65</v>
      </c>
      <c r="B171" t="s">
        <v>48</v>
      </c>
      <c r="C171">
        <v>-9.0093605220317841E-2</v>
      </c>
      <c r="D171">
        <v>-0.10000000149011612</v>
      </c>
    </row>
    <row r="172" spans="1:4" x14ac:dyDescent="0.55000000000000004">
      <c r="A172" t="s">
        <v>47</v>
      </c>
      <c r="B172" t="s">
        <v>51</v>
      </c>
      <c r="C172">
        <v>6.8595267832279205E-2</v>
      </c>
      <c r="D172">
        <v>-5.4597701877355576E-2</v>
      </c>
    </row>
    <row r="173" spans="1:4" x14ac:dyDescent="0.55000000000000004">
      <c r="A173" t="s">
        <v>74</v>
      </c>
      <c r="B173" t="s">
        <v>53</v>
      </c>
      <c r="C173">
        <v>0.18518364429473877</v>
      </c>
      <c r="D173">
        <v>0</v>
      </c>
    </row>
    <row r="174" spans="1:4" x14ac:dyDescent="0.55000000000000004">
      <c r="A174" t="s">
        <v>73</v>
      </c>
      <c r="B174" t="s">
        <v>51</v>
      </c>
      <c r="C174">
        <v>7.8056439757347107E-2</v>
      </c>
      <c r="D174">
        <v>-3.4188035875558853E-2</v>
      </c>
    </row>
    <row r="175" spans="1:4" x14ac:dyDescent="0.55000000000000004">
      <c r="A175" t="s">
        <v>65</v>
      </c>
      <c r="B175" t="s">
        <v>51</v>
      </c>
      <c r="C175">
        <v>7.0270031690597534E-2</v>
      </c>
      <c r="D175">
        <v>-2.6066349819302559E-2</v>
      </c>
    </row>
    <row r="176" spans="1:4" x14ac:dyDescent="0.55000000000000004">
      <c r="A176" t="s">
        <v>71</v>
      </c>
      <c r="B176" t="s">
        <v>51</v>
      </c>
      <c r="C176">
        <v>-0.33820712566375732</v>
      </c>
      <c r="D176">
        <v>-0.3333333432674408</v>
      </c>
    </row>
    <row r="177" spans="1:4" x14ac:dyDescent="0.55000000000000004">
      <c r="A177" t="s">
        <v>65</v>
      </c>
      <c r="B177" t="s">
        <v>48</v>
      </c>
      <c r="C177">
        <v>2.4786582216620445E-2</v>
      </c>
      <c r="D177">
        <v>-7.46268630027771E-2</v>
      </c>
    </row>
    <row r="178" spans="1:4" x14ac:dyDescent="0.55000000000000004">
      <c r="A178" t="s">
        <v>79</v>
      </c>
      <c r="B178" t="s">
        <v>48</v>
      </c>
      <c r="C178">
        <v>3.5234048962593079E-2</v>
      </c>
      <c r="D178">
        <v>-7.8125E-2</v>
      </c>
    </row>
    <row r="179" spans="1:4" x14ac:dyDescent="0.55000000000000004">
      <c r="A179" t="s">
        <v>60</v>
      </c>
      <c r="B179" t="s">
        <v>51</v>
      </c>
      <c r="C179">
        <v>3.03450096398592E-2</v>
      </c>
      <c r="D179">
        <v>-6.6265061497688293E-2</v>
      </c>
    </row>
    <row r="180" spans="1:4" x14ac:dyDescent="0.55000000000000004">
      <c r="A180" t="s">
        <v>77</v>
      </c>
      <c r="B180" t="s">
        <v>53</v>
      </c>
      <c r="C180">
        <v>8.4367364645004272E-2</v>
      </c>
      <c r="D180">
        <v>-4.3417368084192276E-2</v>
      </c>
    </row>
    <row r="181" spans="1:4" x14ac:dyDescent="0.55000000000000004">
      <c r="A181" t="s">
        <v>49</v>
      </c>
      <c r="B181" t="s">
        <v>53</v>
      </c>
      <c r="C181">
        <v>-2.8259607497602701E-3</v>
      </c>
      <c r="D181">
        <v>-3.125E-2</v>
      </c>
    </row>
    <row r="182" spans="1:4" x14ac:dyDescent="0.55000000000000004">
      <c r="A182" t="s">
        <v>62</v>
      </c>
      <c r="B182" t="s">
        <v>53</v>
      </c>
      <c r="C182">
        <v>-0.14308066666126251</v>
      </c>
      <c r="D182">
        <v>-0.1527777761220932</v>
      </c>
    </row>
    <row r="183" spans="1:4" x14ac:dyDescent="0.55000000000000004">
      <c r="A183" t="s">
        <v>47</v>
      </c>
      <c r="B183" t="s">
        <v>53</v>
      </c>
      <c r="C183">
        <v>3.0786177143454552E-2</v>
      </c>
      <c r="D183">
        <v>-6.25E-2</v>
      </c>
    </row>
    <row r="184" spans="1:4" x14ac:dyDescent="0.55000000000000004">
      <c r="A184" t="s">
        <v>67</v>
      </c>
      <c r="B184" t="s">
        <v>53</v>
      </c>
      <c r="C184">
        <v>0.11347151547670364</v>
      </c>
      <c r="D184">
        <v>-7.1428571827709675E-3</v>
      </c>
    </row>
    <row r="185" spans="1:4" x14ac:dyDescent="0.55000000000000004">
      <c r="A185" t="s">
        <v>63</v>
      </c>
      <c r="B185" t="s">
        <v>51</v>
      </c>
      <c r="C185">
        <v>8.3715636283159256E-3</v>
      </c>
      <c r="D185">
        <v>-7.0270270109176636E-2</v>
      </c>
    </row>
    <row r="186" spans="1:4" x14ac:dyDescent="0.55000000000000004">
      <c r="A186" t="s">
        <v>63</v>
      </c>
      <c r="B186" t="s">
        <v>53</v>
      </c>
      <c r="C186">
        <v>0.14153043925762177</v>
      </c>
      <c r="D186">
        <v>2.6315789669752121E-2</v>
      </c>
    </row>
    <row r="187" spans="1:4" x14ac:dyDescent="0.55000000000000004">
      <c r="A187" t="s">
        <v>55</v>
      </c>
      <c r="B187" t="s">
        <v>53</v>
      </c>
      <c r="C187">
        <v>6.6140741109848022E-2</v>
      </c>
      <c r="D187">
        <v>-1.9999999552965164E-2</v>
      </c>
    </row>
    <row r="188" spans="1:4" x14ac:dyDescent="0.55000000000000004">
      <c r="A188" t="s">
        <v>54</v>
      </c>
      <c r="B188" t="s">
        <v>51</v>
      </c>
      <c r="C188">
        <v>0.11311487108469009</v>
      </c>
      <c r="D188">
        <v>-8.2644624635577202E-3</v>
      </c>
    </row>
    <row r="189" spans="1:4" x14ac:dyDescent="0.55000000000000004">
      <c r="A189" t="s">
        <v>61</v>
      </c>
      <c r="B189" t="s">
        <v>51</v>
      </c>
      <c r="C189">
        <v>-2.6174303144216537E-2</v>
      </c>
      <c r="D189">
        <v>-0.10000000149011612</v>
      </c>
    </row>
    <row r="190" spans="1:4" x14ac:dyDescent="0.55000000000000004">
      <c r="A190" t="s">
        <v>56</v>
      </c>
      <c r="B190" t="s">
        <v>51</v>
      </c>
      <c r="C190">
        <v>4.1900616139173508E-2</v>
      </c>
      <c r="D190">
        <v>-6.7757010459899902E-2</v>
      </c>
    </row>
    <row r="191" spans="1:4" x14ac:dyDescent="0.55000000000000004">
      <c r="A191" t="s">
        <v>47</v>
      </c>
      <c r="B191" t="s">
        <v>51</v>
      </c>
      <c r="C191">
        <v>0.14790119230747223</v>
      </c>
      <c r="D191">
        <v>5.55555559694767E-2</v>
      </c>
    </row>
    <row r="192" spans="1:4" x14ac:dyDescent="0.55000000000000004">
      <c r="A192" t="s">
        <v>54</v>
      </c>
      <c r="B192" t="s">
        <v>53</v>
      </c>
      <c r="C192">
        <v>6.4074218273162842E-2</v>
      </c>
      <c r="D192">
        <v>-3.8251366466283798E-2</v>
      </c>
    </row>
    <row r="193" spans="1:4" x14ac:dyDescent="0.55000000000000004">
      <c r="A193" t="s">
        <v>63</v>
      </c>
      <c r="B193" t="s">
        <v>53</v>
      </c>
      <c r="C193">
        <v>3.1285058706998825E-2</v>
      </c>
      <c r="D193">
        <v>-6.4432986080646515E-2</v>
      </c>
    </row>
    <row r="194" spans="1:4" x14ac:dyDescent="0.55000000000000004">
      <c r="A194" t="s">
        <v>70</v>
      </c>
      <c r="B194" t="s">
        <v>53</v>
      </c>
      <c r="C194">
        <v>6.7021757364273071E-2</v>
      </c>
      <c r="D194">
        <v>-4.5955881476402283E-2</v>
      </c>
    </row>
    <row r="195" spans="1:4" x14ac:dyDescent="0.55000000000000004">
      <c r="A195" t="s">
        <v>71</v>
      </c>
      <c r="B195" t="s">
        <v>51</v>
      </c>
      <c r="C195">
        <v>1.8339848145842552E-2</v>
      </c>
      <c r="D195">
        <v>-3.684210404753685E-2</v>
      </c>
    </row>
    <row r="196" spans="1:4" x14ac:dyDescent="0.55000000000000004">
      <c r="A196" t="s">
        <v>74</v>
      </c>
      <c r="B196" t="s">
        <v>53</v>
      </c>
      <c r="C196">
        <v>0.12096438556909561</v>
      </c>
      <c r="D196">
        <v>-1.5527950599789619E-2</v>
      </c>
    </row>
    <row r="197" spans="1:4" x14ac:dyDescent="0.55000000000000004">
      <c r="A197" t="s">
        <v>52</v>
      </c>
      <c r="B197" t="s">
        <v>48</v>
      </c>
      <c r="C197">
        <v>9.4009034335613251E-2</v>
      </c>
      <c r="D197">
        <v>-2.6315789669752121E-2</v>
      </c>
    </row>
    <row r="198" spans="1:4" x14ac:dyDescent="0.55000000000000004">
      <c r="A198" t="s">
        <v>81</v>
      </c>
      <c r="B198" t="s">
        <v>48</v>
      </c>
      <c r="C198">
        <v>3.8126740604639053E-2</v>
      </c>
      <c r="D198">
        <v>-4.36507947742939E-2</v>
      </c>
    </row>
    <row r="199" spans="1:4" x14ac:dyDescent="0.55000000000000004">
      <c r="A199" t="s">
        <v>61</v>
      </c>
      <c r="B199" t="s">
        <v>48</v>
      </c>
      <c r="C199">
        <v>0.10281152278184891</v>
      </c>
      <c r="D199">
        <v>-3.1128404662013054E-2</v>
      </c>
    </row>
    <row r="200" spans="1:4" x14ac:dyDescent="0.55000000000000004">
      <c r="A200" t="s">
        <v>67</v>
      </c>
      <c r="B200" t="s">
        <v>48</v>
      </c>
      <c r="C200">
        <v>1.3290867209434509E-2</v>
      </c>
      <c r="D200">
        <v>-7.1942448616027832E-2</v>
      </c>
    </row>
    <row r="201" spans="1:4" x14ac:dyDescent="0.55000000000000004">
      <c r="A201" t="s">
        <v>69</v>
      </c>
      <c r="B201" t="s">
        <v>48</v>
      </c>
      <c r="C201">
        <v>-3.4216900821775198E-3</v>
      </c>
      <c r="D201">
        <v>-8.3798885345458984E-2</v>
      </c>
    </row>
    <row r="202" spans="1:4" x14ac:dyDescent="0.55000000000000004">
      <c r="A202" t="s">
        <v>66</v>
      </c>
      <c r="B202" t="s">
        <v>59</v>
      </c>
      <c r="C202">
        <v>0.18725775182247162</v>
      </c>
      <c r="D202">
        <v>0</v>
      </c>
    </row>
    <row r="203" spans="1:4" x14ac:dyDescent="0.55000000000000004">
      <c r="A203" t="s">
        <v>57</v>
      </c>
      <c r="B203" t="s">
        <v>46</v>
      </c>
      <c r="C203">
        <v>-3.824636951321736E-5</v>
      </c>
      <c r="D203">
        <v>-9.375E-2</v>
      </c>
    </row>
    <row r="204" spans="1:4" x14ac:dyDescent="0.55000000000000004">
      <c r="A204" t="s">
        <v>64</v>
      </c>
      <c r="B204" t="s">
        <v>59</v>
      </c>
      <c r="C204">
        <v>-0.68639916181564331</v>
      </c>
      <c r="D204">
        <v>-0.5</v>
      </c>
    </row>
    <row r="205" spans="1:4" x14ac:dyDescent="0.55000000000000004">
      <c r="A205" t="s">
        <v>73</v>
      </c>
      <c r="B205" t="s">
        <v>46</v>
      </c>
      <c r="C205">
        <v>-0.23879443109035492</v>
      </c>
      <c r="D205">
        <v>-0.2222222238779068</v>
      </c>
    </row>
    <row r="206" spans="1:4" x14ac:dyDescent="0.55000000000000004">
      <c r="A206" t="s">
        <v>45</v>
      </c>
      <c r="B206" t="s">
        <v>46</v>
      </c>
      <c r="C206">
        <v>-0.11937770247459412</v>
      </c>
      <c r="D206">
        <v>-0.20000000298023224</v>
      </c>
    </row>
    <row r="207" spans="1:4" x14ac:dyDescent="0.55000000000000004">
      <c r="A207" t="s">
        <v>68</v>
      </c>
      <c r="B207" t="s">
        <v>46</v>
      </c>
      <c r="C207">
        <v>-0.14428927004337311</v>
      </c>
      <c r="D207">
        <v>-6.25E-2</v>
      </c>
    </row>
    <row r="208" spans="1:4" x14ac:dyDescent="0.55000000000000004">
      <c r="A208" t="s">
        <v>76</v>
      </c>
      <c r="B208" t="s">
        <v>48</v>
      </c>
      <c r="C208">
        <v>-1.6797816380858421E-2</v>
      </c>
      <c r="D208">
        <v>-0.1388888955116272</v>
      </c>
    </row>
    <row r="209" spans="1:4" x14ac:dyDescent="0.55000000000000004">
      <c r="A209" t="s">
        <v>60</v>
      </c>
      <c r="B209" t="s">
        <v>46</v>
      </c>
      <c r="C209">
        <v>3.8373582065105438E-2</v>
      </c>
      <c r="D209">
        <v>-5.55555559694767E-2</v>
      </c>
    </row>
    <row r="210" spans="1:4" x14ac:dyDescent="0.55000000000000004">
      <c r="A210" t="s">
        <v>74</v>
      </c>
      <c r="B210" t="s">
        <v>46</v>
      </c>
      <c r="C210">
        <v>-0.66864955425262451</v>
      </c>
      <c r="D210">
        <v>-0.5</v>
      </c>
    </row>
    <row r="211" spans="1:4" x14ac:dyDescent="0.55000000000000004">
      <c r="A211" t="s">
        <v>71</v>
      </c>
      <c r="B211" t="s">
        <v>53</v>
      </c>
      <c r="C211">
        <v>1.700984314084053E-2</v>
      </c>
      <c r="D211">
        <v>-8.7499998509883881E-2</v>
      </c>
    </row>
    <row r="212" spans="1:4" x14ac:dyDescent="0.55000000000000004">
      <c r="A212" t="s">
        <v>81</v>
      </c>
      <c r="B212" t="s">
        <v>51</v>
      </c>
      <c r="C212">
        <v>6.5926038660109043E-3</v>
      </c>
      <c r="D212">
        <v>-6.0810811817646027E-2</v>
      </c>
    </row>
    <row r="213" spans="1:4" x14ac:dyDescent="0.55000000000000004">
      <c r="A213" t="s">
        <v>45</v>
      </c>
      <c r="B213" t="s">
        <v>51</v>
      </c>
      <c r="C213">
        <v>6.8221829831600189E-2</v>
      </c>
      <c r="D213">
        <v>-4.8076923936605453E-2</v>
      </c>
    </row>
    <row r="214" spans="1:4" x14ac:dyDescent="0.55000000000000004">
      <c r="A214" t="s">
        <v>52</v>
      </c>
      <c r="B214" t="s">
        <v>51</v>
      </c>
      <c r="C214">
        <v>-4.6178616583347321E-2</v>
      </c>
      <c r="D214">
        <v>-0.10396039485931396</v>
      </c>
    </row>
    <row r="215" spans="1:4" x14ac:dyDescent="0.55000000000000004">
      <c r="A215" t="s">
        <v>76</v>
      </c>
      <c r="B215" t="s">
        <v>53</v>
      </c>
      <c r="C215">
        <v>8.6102329194545746E-2</v>
      </c>
      <c r="D215">
        <v>0</v>
      </c>
    </row>
    <row r="216" spans="1:4" x14ac:dyDescent="0.55000000000000004">
      <c r="A216" t="s">
        <v>69</v>
      </c>
      <c r="B216" t="s">
        <v>53</v>
      </c>
      <c r="C216">
        <v>9.3813247978687286E-2</v>
      </c>
      <c r="D216">
        <v>-2.2455090656876564E-2</v>
      </c>
    </row>
    <row r="217" spans="1:4" x14ac:dyDescent="0.55000000000000004">
      <c r="A217" t="s">
        <v>62</v>
      </c>
      <c r="B217" t="s">
        <v>53</v>
      </c>
      <c r="C217">
        <v>-9.0220263227820396E-3</v>
      </c>
      <c r="D217">
        <v>-8.3333335816860199E-2</v>
      </c>
    </row>
    <row r="218" spans="1:4" x14ac:dyDescent="0.55000000000000004">
      <c r="A218" t="s">
        <v>74</v>
      </c>
      <c r="B218" t="s">
        <v>53</v>
      </c>
      <c r="C218">
        <v>-5.5204831063747406E-2</v>
      </c>
      <c r="D218">
        <v>-0.1666666716337204</v>
      </c>
    </row>
    <row r="219" spans="1:4" x14ac:dyDescent="0.55000000000000004">
      <c r="A219" t="s">
        <v>66</v>
      </c>
      <c r="B219" t="s">
        <v>46</v>
      </c>
      <c r="C219">
        <v>-1.6336720436811447E-2</v>
      </c>
      <c r="D219">
        <v>-0.10000000149011612</v>
      </c>
    </row>
    <row r="220" spans="1:4" x14ac:dyDescent="0.55000000000000004">
      <c r="A220" t="s">
        <v>78</v>
      </c>
      <c r="B220" t="s">
        <v>48</v>
      </c>
      <c r="C220">
        <v>-3.5486917942762375E-2</v>
      </c>
      <c r="D220">
        <v>-0.10869564861059189</v>
      </c>
    </row>
    <row r="221" spans="1:4" x14ac:dyDescent="0.55000000000000004">
      <c r="A221" t="s">
        <v>68</v>
      </c>
      <c r="B221" t="s">
        <v>48</v>
      </c>
      <c r="C221">
        <v>7.0925123989582062E-2</v>
      </c>
      <c r="D221">
        <v>-3.5864979028701782E-2</v>
      </c>
    </row>
    <row r="222" spans="1:4" x14ac:dyDescent="0.55000000000000004">
      <c r="A222" t="s">
        <v>71</v>
      </c>
      <c r="B222" t="s">
        <v>48</v>
      </c>
      <c r="C222">
        <v>3.0660724267363548E-2</v>
      </c>
      <c r="D222">
        <v>-6.2770560383796692E-2</v>
      </c>
    </row>
    <row r="223" spans="1:4" x14ac:dyDescent="0.55000000000000004">
      <c r="A223" t="s">
        <v>58</v>
      </c>
      <c r="B223" t="s">
        <v>48</v>
      </c>
      <c r="C223">
        <v>0.11859629303216934</v>
      </c>
      <c r="D223">
        <v>-8.6206896230578423E-3</v>
      </c>
    </row>
    <row r="224" spans="1:4" x14ac:dyDescent="0.55000000000000004">
      <c r="A224" t="s">
        <v>63</v>
      </c>
      <c r="B224" t="s">
        <v>48</v>
      </c>
      <c r="C224">
        <v>4.8231333494186401E-2</v>
      </c>
      <c r="D224">
        <v>-4.86111119389534E-2</v>
      </c>
    </row>
    <row r="225" spans="1:4" x14ac:dyDescent="0.55000000000000004">
      <c r="A225" t="s">
        <v>77</v>
      </c>
      <c r="B225" t="s">
        <v>48</v>
      </c>
      <c r="C225">
        <v>7.696523517370224E-2</v>
      </c>
      <c r="D225">
        <v>-4.0740739554166794E-2</v>
      </c>
    </row>
    <row r="226" spans="1:4" x14ac:dyDescent="0.55000000000000004">
      <c r="A226" t="s">
        <v>79</v>
      </c>
      <c r="B226" t="s">
        <v>48</v>
      </c>
      <c r="C226">
        <v>6.4718857407569885E-2</v>
      </c>
      <c r="D226">
        <v>-3.6206897348165512E-2</v>
      </c>
    </row>
    <row r="227" spans="1:4" x14ac:dyDescent="0.55000000000000004">
      <c r="A227" t="s">
        <v>45</v>
      </c>
      <c r="B227" t="s">
        <v>48</v>
      </c>
      <c r="C227">
        <v>-2.4890357162803411E-3</v>
      </c>
      <c r="D227">
        <v>-6.1224490404129028E-2</v>
      </c>
    </row>
    <row r="228" spans="1:4" x14ac:dyDescent="0.55000000000000004">
      <c r="A228" t="s">
        <v>71</v>
      </c>
      <c r="B228" t="s">
        <v>48</v>
      </c>
      <c r="C228">
        <v>6.687886081635952E-3</v>
      </c>
      <c r="D228">
        <v>-8.6111113429069519E-2</v>
      </c>
    </row>
    <row r="229" spans="1:4" x14ac:dyDescent="0.55000000000000004">
      <c r="A229" t="s">
        <v>77</v>
      </c>
      <c r="B229" t="s">
        <v>48</v>
      </c>
      <c r="C229">
        <v>6.9923281669616699E-2</v>
      </c>
      <c r="D229">
        <v>-4.5454546809196472E-2</v>
      </c>
    </row>
    <row r="230" spans="1:4" x14ac:dyDescent="0.55000000000000004">
      <c r="A230" t="s">
        <v>57</v>
      </c>
      <c r="B230" t="s">
        <v>51</v>
      </c>
      <c r="C230">
        <v>9.2091143131256104E-2</v>
      </c>
      <c r="D230">
        <v>-3.3333335071802139E-2</v>
      </c>
    </row>
    <row r="231" spans="1:4" x14ac:dyDescent="0.55000000000000004">
      <c r="A231" t="s">
        <v>81</v>
      </c>
      <c r="B231" t="s">
        <v>48</v>
      </c>
      <c r="C231">
        <v>-4.7636248171329498E-2</v>
      </c>
      <c r="D231">
        <v>-0.1111111119389534</v>
      </c>
    </row>
    <row r="232" spans="1:4" x14ac:dyDescent="0.55000000000000004">
      <c r="A232" t="s">
        <v>54</v>
      </c>
      <c r="B232" t="s">
        <v>51</v>
      </c>
      <c r="C232">
        <v>2.4017611518502235E-2</v>
      </c>
      <c r="D232">
        <v>-8.5365854203701019E-2</v>
      </c>
    </row>
    <row r="233" spans="1:4" x14ac:dyDescent="0.55000000000000004">
      <c r="A233" t="s">
        <v>64</v>
      </c>
      <c r="B233" t="s">
        <v>51</v>
      </c>
      <c r="C233">
        <v>0.12478706985712051</v>
      </c>
      <c r="D233">
        <v>0.10000000149011612</v>
      </c>
    </row>
    <row r="234" spans="1:4" x14ac:dyDescent="0.55000000000000004">
      <c r="A234" t="s">
        <v>71</v>
      </c>
      <c r="B234" t="s">
        <v>51</v>
      </c>
      <c r="C234">
        <v>0.10446188598871231</v>
      </c>
      <c r="D234">
        <v>-2.901785634458065E-2</v>
      </c>
    </row>
    <row r="235" spans="1:4" x14ac:dyDescent="0.55000000000000004">
      <c r="A235" t="s">
        <v>78</v>
      </c>
      <c r="B235" t="s">
        <v>48</v>
      </c>
      <c r="C235">
        <v>0.13080528378486633</v>
      </c>
      <c r="D235">
        <v>2.9661016538739204E-2</v>
      </c>
    </row>
    <row r="236" spans="1:4" x14ac:dyDescent="0.55000000000000004">
      <c r="A236" t="s">
        <v>66</v>
      </c>
      <c r="B236" t="s">
        <v>48</v>
      </c>
      <c r="C236">
        <v>6.3732273876667023E-2</v>
      </c>
      <c r="D236">
        <v>-3.125E-2</v>
      </c>
    </row>
    <row r="237" spans="1:4" x14ac:dyDescent="0.55000000000000004">
      <c r="A237" t="s">
        <v>66</v>
      </c>
      <c r="B237" t="s">
        <v>51</v>
      </c>
      <c r="C237">
        <v>0.11549964547157288</v>
      </c>
      <c r="D237">
        <v>0</v>
      </c>
    </row>
    <row r="238" spans="1:4" x14ac:dyDescent="0.55000000000000004">
      <c r="A238" t="s">
        <v>45</v>
      </c>
      <c r="B238" t="s">
        <v>51</v>
      </c>
      <c r="C238">
        <v>8.1056885421276093E-2</v>
      </c>
      <c r="D238">
        <v>-1.7543859779834747E-2</v>
      </c>
    </row>
    <row r="239" spans="1:4" x14ac:dyDescent="0.55000000000000004">
      <c r="A239" t="s">
        <v>55</v>
      </c>
      <c r="B239" t="s">
        <v>51</v>
      </c>
      <c r="C239">
        <v>0.10624149441719055</v>
      </c>
      <c r="D239">
        <v>-1.0593220591545105E-2</v>
      </c>
    </row>
    <row r="240" spans="1:4" x14ac:dyDescent="0.55000000000000004">
      <c r="A240" t="s">
        <v>68</v>
      </c>
      <c r="B240" t="s">
        <v>51</v>
      </c>
      <c r="C240">
        <v>1.9640620797872543E-2</v>
      </c>
      <c r="D240">
        <v>-6.1611372977495193E-2</v>
      </c>
    </row>
    <row r="241" spans="1:4" x14ac:dyDescent="0.55000000000000004">
      <c r="A241" t="s">
        <v>62</v>
      </c>
      <c r="B241" t="s">
        <v>51</v>
      </c>
      <c r="C241">
        <v>-9.143829345703125E-2</v>
      </c>
      <c r="D241">
        <v>-0.125</v>
      </c>
    </row>
    <row r="242" spans="1:4" x14ac:dyDescent="0.55000000000000004">
      <c r="A242" t="s">
        <v>77</v>
      </c>
      <c r="B242" t="s">
        <v>51</v>
      </c>
      <c r="C242">
        <v>6.8358927965164185E-2</v>
      </c>
      <c r="D242">
        <v>-1.875000074505806E-2</v>
      </c>
    </row>
    <row r="243" spans="1:4" x14ac:dyDescent="0.55000000000000004">
      <c r="A243" t="s">
        <v>65</v>
      </c>
      <c r="B243" t="s">
        <v>48</v>
      </c>
      <c r="C243">
        <v>9.1352932155132294E-2</v>
      </c>
      <c r="D243">
        <v>-9.3023255467414856E-3</v>
      </c>
    </row>
    <row r="244" spans="1:4" x14ac:dyDescent="0.55000000000000004">
      <c r="A244" t="s">
        <v>64</v>
      </c>
      <c r="B244" t="s">
        <v>48</v>
      </c>
      <c r="C244">
        <v>-4.2287013493478298E-3</v>
      </c>
      <c r="D244">
        <v>-5.1020409911870956E-2</v>
      </c>
    </row>
    <row r="245" spans="1:4" x14ac:dyDescent="0.55000000000000004">
      <c r="A245" t="s">
        <v>67</v>
      </c>
      <c r="B245" t="s">
        <v>53</v>
      </c>
      <c r="C245">
        <v>4.8105143010616302E-2</v>
      </c>
      <c r="D245">
        <v>-4.5893721282482147E-2</v>
      </c>
    </row>
    <row r="246" spans="1:4" x14ac:dyDescent="0.55000000000000004">
      <c r="A246" t="s">
        <v>69</v>
      </c>
      <c r="B246" t="s">
        <v>48</v>
      </c>
      <c r="C246">
        <v>1.8421449931338429E-3</v>
      </c>
      <c r="D246">
        <v>-9.7222223877906799E-2</v>
      </c>
    </row>
    <row r="247" spans="1:4" x14ac:dyDescent="0.55000000000000004">
      <c r="A247" t="s">
        <v>79</v>
      </c>
      <c r="B247" t="s">
        <v>53</v>
      </c>
      <c r="C247">
        <v>-5.9796404093503952E-3</v>
      </c>
      <c r="D247">
        <v>-5.9845559298992157E-2</v>
      </c>
    </row>
    <row r="248" spans="1:4" x14ac:dyDescent="0.55000000000000004">
      <c r="A248" t="s">
        <v>50</v>
      </c>
      <c r="B248" t="s">
        <v>48</v>
      </c>
      <c r="C248">
        <v>-6.1032753437757492E-3</v>
      </c>
      <c r="D248">
        <v>-9.2307694256305695E-2</v>
      </c>
    </row>
    <row r="249" spans="1:4" x14ac:dyDescent="0.55000000000000004">
      <c r="A249" t="s">
        <v>80</v>
      </c>
      <c r="B249" t="s">
        <v>53</v>
      </c>
      <c r="C249">
        <v>9.1992869973182678E-2</v>
      </c>
      <c r="D249">
        <v>-2.674897201359272E-2</v>
      </c>
    </row>
    <row r="250" spans="1:4" x14ac:dyDescent="0.55000000000000004">
      <c r="A250" t="s">
        <v>72</v>
      </c>
      <c r="B250" t="s">
        <v>46</v>
      </c>
      <c r="C250">
        <v>-0.33177435398101807</v>
      </c>
      <c r="D250">
        <v>-0.3125</v>
      </c>
    </row>
    <row r="251" spans="1:4" x14ac:dyDescent="0.55000000000000004">
      <c r="A251" t="s">
        <v>57</v>
      </c>
      <c r="B251" t="s">
        <v>51</v>
      </c>
      <c r="C251">
        <v>7.6948709785938263E-2</v>
      </c>
      <c r="D251">
        <v>-4.1666667908430099E-2</v>
      </c>
    </row>
    <row r="252" spans="1:4" x14ac:dyDescent="0.55000000000000004">
      <c r="A252" t="s">
        <v>57</v>
      </c>
      <c r="B252" t="s">
        <v>46</v>
      </c>
      <c r="C252">
        <v>6.1553601175546646E-2</v>
      </c>
      <c r="D252">
        <v>-3.3333335071802139E-2</v>
      </c>
    </row>
    <row r="253" spans="1:4" x14ac:dyDescent="0.55000000000000004">
      <c r="A253" t="s">
        <v>52</v>
      </c>
      <c r="B253" t="s">
        <v>48</v>
      </c>
      <c r="C253">
        <v>0.15051001310348511</v>
      </c>
      <c r="D253">
        <v>0</v>
      </c>
    </row>
    <row r="254" spans="1:4" x14ac:dyDescent="0.55000000000000004">
      <c r="A254" t="s">
        <v>76</v>
      </c>
      <c r="B254" t="s">
        <v>51</v>
      </c>
      <c r="C254">
        <v>7.3751762509346008E-2</v>
      </c>
      <c r="D254">
        <v>0.25</v>
      </c>
    </row>
    <row r="255" spans="1:4" x14ac:dyDescent="0.55000000000000004">
      <c r="A255" t="s">
        <v>81</v>
      </c>
      <c r="B255" t="s">
        <v>53</v>
      </c>
      <c r="C255">
        <v>-1.5909044072031975E-2</v>
      </c>
      <c r="D255">
        <v>-4.1666667908430099E-2</v>
      </c>
    </row>
    <row r="256" spans="1:4" x14ac:dyDescent="0.55000000000000004">
      <c r="A256" t="s">
        <v>63</v>
      </c>
      <c r="B256" t="s">
        <v>51</v>
      </c>
      <c r="C256">
        <v>0.12196537107229233</v>
      </c>
      <c r="D256">
        <v>3.5714287310838699E-2</v>
      </c>
    </row>
    <row r="257" spans="1:4" x14ac:dyDescent="0.55000000000000004">
      <c r="A257" t="s">
        <v>65</v>
      </c>
      <c r="B257" t="s">
        <v>53</v>
      </c>
      <c r="C257">
        <v>6.9654114544391632E-2</v>
      </c>
      <c r="D257">
        <v>-3.4965034574270248E-2</v>
      </c>
    </row>
    <row r="258" spans="1:4" x14ac:dyDescent="0.55000000000000004">
      <c r="A258" t="s">
        <v>63</v>
      </c>
      <c r="B258" t="s">
        <v>53</v>
      </c>
      <c r="C258">
        <v>-0.14811907708644867</v>
      </c>
      <c r="D258">
        <v>0</v>
      </c>
    </row>
    <row r="259" spans="1:4" x14ac:dyDescent="0.55000000000000004">
      <c r="A259" t="s">
        <v>76</v>
      </c>
      <c r="B259" t="s">
        <v>53</v>
      </c>
      <c r="C259">
        <v>-0.29401722550392151</v>
      </c>
      <c r="D259">
        <v>-0.25</v>
      </c>
    </row>
    <row r="260" spans="1:4" x14ac:dyDescent="0.55000000000000004">
      <c r="A260" t="s">
        <v>72</v>
      </c>
      <c r="B260" t="s">
        <v>51</v>
      </c>
      <c r="C260">
        <v>4.3754242360591888E-3</v>
      </c>
      <c r="D260">
        <v>-0.109375</v>
      </c>
    </row>
    <row r="261" spans="1:4" x14ac:dyDescent="0.55000000000000004">
      <c r="A261" t="s">
        <v>74</v>
      </c>
      <c r="B261" t="s">
        <v>53</v>
      </c>
      <c r="C261">
        <v>3.3442448824644089E-2</v>
      </c>
      <c r="D261">
        <v>-5.4179567843675613E-2</v>
      </c>
    </row>
    <row r="262" spans="1:4" x14ac:dyDescent="0.55000000000000004">
      <c r="A262" t="s">
        <v>50</v>
      </c>
      <c r="B262" t="s">
        <v>53</v>
      </c>
      <c r="C262">
        <v>-3.766157478094101E-2</v>
      </c>
      <c r="D262">
        <v>-0.10655737668275833</v>
      </c>
    </row>
    <row r="263" spans="1:4" x14ac:dyDescent="0.55000000000000004">
      <c r="A263" t="s">
        <v>78</v>
      </c>
      <c r="B263" t="s">
        <v>53</v>
      </c>
      <c r="C263">
        <v>5.0207357853651047E-2</v>
      </c>
      <c r="D263">
        <v>-3.4263961017131805E-2</v>
      </c>
    </row>
    <row r="264" spans="1:4" x14ac:dyDescent="0.55000000000000004">
      <c r="A264" t="s">
        <v>77</v>
      </c>
      <c r="B264" t="s">
        <v>53</v>
      </c>
      <c r="C264">
        <v>8.9110083878040314E-2</v>
      </c>
      <c r="D264">
        <v>-1.8394649028778076E-2</v>
      </c>
    </row>
    <row r="265" spans="1:4" x14ac:dyDescent="0.55000000000000004">
      <c r="A265" t="s">
        <v>75</v>
      </c>
      <c r="B265" t="s">
        <v>53</v>
      </c>
      <c r="C265">
        <v>7.1050740778446198E-2</v>
      </c>
      <c r="D265">
        <v>-2.3684211075305939E-2</v>
      </c>
    </row>
    <row r="266" spans="1:4" x14ac:dyDescent="0.55000000000000004">
      <c r="A266" t="s">
        <v>54</v>
      </c>
      <c r="B266" t="s">
        <v>53</v>
      </c>
      <c r="C266">
        <v>-7.1573860943317413E-2</v>
      </c>
      <c r="D266">
        <v>-0.10975609719753265</v>
      </c>
    </row>
    <row r="267" spans="1:4" x14ac:dyDescent="0.55000000000000004">
      <c r="A267" t="s">
        <v>80</v>
      </c>
      <c r="B267" t="s">
        <v>51</v>
      </c>
      <c r="C267">
        <v>7.8365154564380646E-2</v>
      </c>
      <c r="D267">
        <v>-2.247191034257412E-2</v>
      </c>
    </row>
    <row r="268" spans="1:4" x14ac:dyDescent="0.55000000000000004">
      <c r="A268" t="s">
        <v>60</v>
      </c>
      <c r="B268" t="s">
        <v>53</v>
      </c>
      <c r="C268">
        <v>5.7620812207460403E-2</v>
      </c>
      <c r="D268">
        <v>-3.9915967732667923E-2</v>
      </c>
    </row>
    <row r="269" spans="1:4" x14ac:dyDescent="0.55000000000000004">
      <c r="A269" t="s">
        <v>75</v>
      </c>
      <c r="B269" t="s">
        <v>51</v>
      </c>
      <c r="C269">
        <v>4.4967774301767349E-2</v>
      </c>
      <c r="D269">
        <v>-4.1666667908430099E-2</v>
      </c>
    </row>
    <row r="270" spans="1:4" x14ac:dyDescent="0.55000000000000004">
      <c r="A270" t="s">
        <v>72</v>
      </c>
      <c r="B270" t="s">
        <v>53</v>
      </c>
      <c r="C270">
        <v>8.8050410151481628E-2</v>
      </c>
      <c r="D270">
        <v>-1.4545454643666744E-2</v>
      </c>
    </row>
    <row r="271" spans="1:4" x14ac:dyDescent="0.55000000000000004">
      <c r="A271" t="s">
        <v>74</v>
      </c>
      <c r="B271" t="s">
        <v>48</v>
      </c>
      <c r="C271">
        <v>0.26557040214538574</v>
      </c>
      <c r="D271">
        <v>0</v>
      </c>
    </row>
    <row r="272" spans="1:4" x14ac:dyDescent="0.55000000000000004">
      <c r="A272" t="s">
        <v>66</v>
      </c>
      <c r="B272" t="s">
        <v>51</v>
      </c>
      <c r="C272">
        <v>0.10471829771995544</v>
      </c>
      <c r="D272">
        <v>2.9940120875835419E-3</v>
      </c>
    </row>
    <row r="273" spans="1:4" x14ac:dyDescent="0.55000000000000004">
      <c r="A273" t="s">
        <v>80</v>
      </c>
      <c r="B273" t="s">
        <v>53</v>
      </c>
      <c r="C273">
        <v>3.3457450568675995E-2</v>
      </c>
      <c r="D273">
        <v>-6.25E-2</v>
      </c>
    </row>
    <row r="274" spans="1:4" x14ac:dyDescent="0.55000000000000004">
      <c r="A274" t="s">
        <v>81</v>
      </c>
      <c r="B274" t="s">
        <v>51</v>
      </c>
      <c r="C274">
        <v>0.11814062297344208</v>
      </c>
      <c r="D274">
        <v>-1.3274336233735085E-2</v>
      </c>
    </row>
    <row r="275" spans="1:4" x14ac:dyDescent="0.55000000000000004">
      <c r="A275" t="s">
        <v>79</v>
      </c>
      <c r="B275" t="s">
        <v>51</v>
      </c>
      <c r="C275">
        <v>-4.8207823187112808E-2</v>
      </c>
      <c r="D275">
        <v>0</v>
      </c>
    </row>
    <row r="276" spans="1:4" x14ac:dyDescent="0.55000000000000004">
      <c r="A276" t="s">
        <v>76</v>
      </c>
      <c r="B276" t="s">
        <v>51</v>
      </c>
      <c r="C276">
        <v>2.0546074956655502E-2</v>
      </c>
      <c r="D276">
        <v>-7.4175827205181122E-2</v>
      </c>
    </row>
    <row r="277" spans="1:4" x14ac:dyDescent="0.55000000000000004">
      <c r="A277" t="s">
        <v>56</v>
      </c>
      <c r="B277" t="s">
        <v>51</v>
      </c>
      <c r="C277">
        <v>6.879793107509613E-2</v>
      </c>
      <c r="D277">
        <v>-6.355932354927063E-2</v>
      </c>
    </row>
    <row r="278" spans="1:4" x14ac:dyDescent="0.55000000000000004">
      <c r="A278" t="s">
        <v>55</v>
      </c>
      <c r="B278" t="s">
        <v>53</v>
      </c>
      <c r="C278">
        <v>0.10252083092927933</v>
      </c>
      <c r="D278">
        <v>0</v>
      </c>
    </row>
    <row r="279" spans="1:4" x14ac:dyDescent="0.55000000000000004">
      <c r="A279" t="s">
        <v>62</v>
      </c>
      <c r="B279" t="s">
        <v>51</v>
      </c>
      <c r="C279">
        <v>2.4032576009631157E-2</v>
      </c>
      <c r="D279">
        <v>-7.4766352772712708E-2</v>
      </c>
    </row>
    <row r="280" spans="1:4" x14ac:dyDescent="0.55000000000000004">
      <c r="A280" t="s">
        <v>57</v>
      </c>
      <c r="B280" t="s">
        <v>51</v>
      </c>
      <c r="C280">
        <v>7.1913734078407288E-2</v>
      </c>
      <c r="D280">
        <v>-1.6233766451478004E-2</v>
      </c>
    </row>
    <row r="281" spans="1:4" x14ac:dyDescent="0.55000000000000004">
      <c r="A281" t="s">
        <v>78</v>
      </c>
      <c r="B281" t="s">
        <v>51</v>
      </c>
      <c r="C281">
        <v>2.8980419039726257E-2</v>
      </c>
      <c r="D281">
        <v>-8.510638028383255E-2</v>
      </c>
    </row>
    <row r="282" spans="1:4" x14ac:dyDescent="0.55000000000000004">
      <c r="A282" t="s">
        <v>70</v>
      </c>
      <c r="B282" t="s">
        <v>53</v>
      </c>
      <c r="C282">
        <v>0.146408811211586</v>
      </c>
      <c r="D282">
        <v>-5.55555559694767E-2</v>
      </c>
    </row>
    <row r="283" spans="1:4" x14ac:dyDescent="0.55000000000000004">
      <c r="A283" t="s">
        <v>56</v>
      </c>
      <c r="B283" t="s">
        <v>53</v>
      </c>
      <c r="C283">
        <v>7.5292922556400299E-2</v>
      </c>
      <c r="D283">
        <v>-2.7687296271324158E-2</v>
      </c>
    </row>
    <row r="284" spans="1:4" x14ac:dyDescent="0.55000000000000004">
      <c r="A284" t="s">
        <v>77</v>
      </c>
      <c r="B284" t="s">
        <v>48</v>
      </c>
      <c r="C284">
        <v>0.12281168252229691</v>
      </c>
      <c r="D284">
        <v>-7.4626863934099674E-3</v>
      </c>
    </row>
    <row r="285" spans="1:4" x14ac:dyDescent="0.55000000000000004">
      <c r="A285" t="s">
        <v>80</v>
      </c>
      <c r="B285" t="s">
        <v>53</v>
      </c>
      <c r="C285">
        <v>7.5540117919445038E-2</v>
      </c>
      <c r="D285">
        <v>-2.9085872694849968E-2</v>
      </c>
    </row>
    <row r="286" spans="1:4" x14ac:dyDescent="0.55000000000000004">
      <c r="A286" t="s">
        <v>71</v>
      </c>
      <c r="B286" t="s">
        <v>51</v>
      </c>
      <c r="C286">
        <v>2.206258662045002E-2</v>
      </c>
      <c r="D286">
        <v>-4.5454546809196472E-2</v>
      </c>
    </row>
    <row r="287" spans="1:4" x14ac:dyDescent="0.55000000000000004">
      <c r="A287" t="s">
        <v>60</v>
      </c>
      <c r="B287" t="s">
        <v>53</v>
      </c>
      <c r="C287">
        <v>1.4266209676861763E-2</v>
      </c>
      <c r="D287">
        <v>-3.5714287310838699E-2</v>
      </c>
    </row>
    <row r="288" spans="1:4" x14ac:dyDescent="0.55000000000000004">
      <c r="A288" t="s">
        <v>75</v>
      </c>
      <c r="B288" t="s">
        <v>51</v>
      </c>
      <c r="C288">
        <v>9.5673650503158569E-2</v>
      </c>
      <c r="D288">
        <v>-1.0600706562399864E-2</v>
      </c>
    </row>
    <row r="289" spans="1:4" x14ac:dyDescent="0.55000000000000004">
      <c r="A289" t="s">
        <v>72</v>
      </c>
      <c r="B289" t="s">
        <v>53</v>
      </c>
      <c r="C289">
        <v>5.5798883549869061E-3</v>
      </c>
      <c r="D289">
        <v>-9.5959596335887909E-2</v>
      </c>
    </row>
    <row r="290" spans="1:4" x14ac:dyDescent="0.55000000000000004">
      <c r="A290" t="s">
        <v>63</v>
      </c>
      <c r="B290" t="s">
        <v>53</v>
      </c>
      <c r="C290">
        <v>0.11443766951560974</v>
      </c>
      <c r="D290">
        <v>-3.3333335071802139E-2</v>
      </c>
    </row>
    <row r="291" spans="1:4" x14ac:dyDescent="0.55000000000000004">
      <c r="A291" t="s">
        <v>65</v>
      </c>
      <c r="B291" t="s">
        <v>53</v>
      </c>
      <c r="C291">
        <v>2.4322662502527237E-2</v>
      </c>
      <c r="D291">
        <v>-3.3333335071802139E-2</v>
      </c>
    </row>
    <row r="292" spans="1:4" x14ac:dyDescent="0.55000000000000004">
      <c r="A292" t="s">
        <v>55</v>
      </c>
      <c r="B292" t="s">
        <v>51</v>
      </c>
      <c r="C292">
        <v>2.81387809664011E-2</v>
      </c>
      <c r="D292">
        <v>-7.7669903635978699E-2</v>
      </c>
    </row>
    <row r="293" spans="1:4" x14ac:dyDescent="0.55000000000000004">
      <c r="A293" t="s">
        <v>64</v>
      </c>
      <c r="B293" t="s">
        <v>51</v>
      </c>
      <c r="C293">
        <v>0.5</v>
      </c>
      <c r="D293">
        <v>0.5</v>
      </c>
    </row>
    <row r="294" spans="1:4" x14ac:dyDescent="0.55000000000000004">
      <c r="A294" t="s">
        <v>47</v>
      </c>
      <c r="B294" t="s">
        <v>46</v>
      </c>
      <c r="C294">
        <v>3.6693662405014038E-2</v>
      </c>
      <c r="D294">
        <v>-8.6206898093223572E-2</v>
      </c>
    </row>
    <row r="295" spans="1:4" x14ac:dyDescent="0.55000000000000004">
      <c r="A295" t="s">
        <v>79</v>
      </c>
      <c r="B295" t="s">
        <v>46</v>
      </c>
      <c r="C295">
        <v>0.76563841104507446</v>
      </c>
      <c r="D295">
        <v>1</v>
      </c>
    </row>
    <row r="296" spans="1:4" x14ac:dyDescent="0.55000000000000004">
      <c r="A296" t="s">
        <v>54</v>
      </c>
      <c r="B296" t="s">
        <v>46</v>
      </c>
      <c r="C296">
        <v>0.17876517772674561</v>
      </c>
      <c r="D296">
        <v>0</v>
      </c>
    </row>
    <row r="297" spans="1:4" x14ac:dyDescent="0.55000000000000004">
      <c r="A297" t="s">
        <v>47</v>
      </c>
      <c r="B297" t="s">
        <v>46</v>
      </c>
      <c r="C297">
        <v>-0.20073807239532471</v>
      </c>
      <c r="D297">
        <v>-0.28571429848670959</v>
      </c>
    </row>
    <row r="298" spans="1:4" x14ac:dyDescent="0.55000000000000004">
      <c r="A298" t="s">
        <v>78</v>
      </c>
      <c r="B298" t="s">
        <v>59</v>
      </c>
      <c r="C298">
        <v>-4.4415384531021118E-2</v>
      </c>
      <c r="D298">
        <v>0</v>
      </c>
    </row>
    <row r="299" spans="1:4" x14ac:dyDescent="0.55000000000000004">
      <c r="A299" t="s">
        <v>62</v>
      </c>
      <c r="B299" t="s">
        <v>46</v>
      </c>
      <c r="C299">
        <v>-0.35802707076072693</v>
      </c>
      <c r="D299">
        <v>-0.375</v>
      </c>
    </row>
    <row r="300" spans="1:4" x14ac:dyDescent="0.55000000000000004">
      <c r="A300" t="s">
        <v>76</v>
      </c>
      <c r="B300" t="s">
        <v>46</v>
      </c>
      <c r="C300">
        <v>-0.32269960641860962</v>
      </c>
      <c r="D300">
        <v>-0.30000001192092896</v>
      </c>
    </row>
    <row r="301" spans="1:4" x14ac:dyDescent="0.55000000000000004">
      <c r="A301" t="s">
        <v>77</v>
      </c>
      <c r="B301" t="s">
        <v>59</v>
      </c>
      <c r="C301">
        <v>-0.80496472120285034</v>
      </c>
      <c r="D301">
        <v>-0.5</v>
      </c>
    </row>
    <row r="302" spans="1:4" x14ac:dyDescent="0.55000000000000004">
      <c r="A302" t="s">
        <v>69</v>
      </c>
      <c r="B302" t="s">
        <v>46</v>
      </c>
      <c r="C302">
        <v>6.2028814107179642E-2</v>
      </c>
      <c r="D302">
        <v>0</v>
      </c>
    </row>
    <row r="303" spans="1:4" x14ac:dyDescent="0.55000000000000004">
      <c r="A303" t="s">
        <v>67</v>
      </c>
      <c r="B303" t="s">
        <v>46</v>
      </c>
      <c r="C303">
        <v>1.2814036570489407E-2</v>
      </c>
      <c r="D303">
        <v>-0.10000000149011612</v>
      </c>
    </row>
    <row r="304" spans="1:4" x14ac:dyDescent="0.55000000000000004">
      <c r="A304" t="s">
        <v>65</v>
      </c>
      <c r="B304" t="s">
        <v>46</v>
      </c>
      <c r="C304">
        <v>7.1860574185848236E-2</v>
      </c>
      <c r="D304">
        <v>0</v>
      </c>
    </row>
    <row r="305" spans="1:4" x14ac:dyDescent="0.55000000000000004">
      <c r="A305" t="s">
        <v>81</v>
      </c>
      <c r="B305" t="s">
        <v>46</v>
      </c>
      <c r="C305">
        <v>-3.4968920052051544E-2</v>
      </c>
      <c r="D305">
        <v>0</v>
      </c>
    </row>
    <row r="306" spans="1:4" x14ac:dyDescent="0.55000000000000004">
      <c r="A306" t="s">
        <v>62</v>
      </c>
      <c r="B306" t="s">
        <v>46</v>
      </c>
      <c r="C306">
        <v>1.3856571167707443E-2</v>
      </c>
      <c r="D306">
        <v>-3.488372266292572E-2</v>
      </c>
    </row>
    <row r="307" spans="1:4" x14ac:dyDescent="0.55000000000000004">
      <c r="A307" t="s">
        <v>63</v>
      </c>
      <c r="B307" t="s">
        <v>46</v>
      </c>
      <c r="C307">
        <v>-0.34083935618400574</v>
      </c>
      <c r="D307">
        <v>-0.25</v>
      </c>
    </row>
    <row r="308" spans="1:4" x14ac:dyDescent="0.55000000000000004">
      <c r="A308" t="s">
        <v>65</v>
      </c>
      <c r="B308" t="s">
        <v>46</v>
      </c>
      <c r="C308">
        <v>0.38126930594444275</v>
      </c>
      <c r="D308">
        <v>0.25</v>
      </c>
    </row>
    <row r="309" spans="1:4" x14ac:dyDescent="0.55000000000000004">
      <c r="A309" t="s">
        <v>66</v>
      </c>
      <c r="B309" t="s">
        <v>59</v>
      </c>
      <c r="C309">
        <v>0.5</v>
      </c>
      <c r="D309">
        <v>0.5</v>
      </c>
    </row>
    <row r="310" spans="1:4" x14ac:dyDescent="0.55000000000000004">
      <c r="A310" t="s">
        <v>77</v>
      </c>
      <c r="B310" t="s">
        <v>48</v>
      </c>
      <c r="C310">
        <v>4.7351479530334473E-2</v>
      </c>
      <c r="D310">
        <v>-4.374999925494194E-2</v>
      </c>
    </row>
    <row r="311" spans="1:4" x14ac:dyDescent="0.55000000000000004">
      <c r="A311" t="s">
        <v>63</v>
      </c>
      <c r="B311" t="s">
        <v>48</v>
      </c>
      <c r="C311">
        <v>0.18025575578212738</v>
      </c>
      <c r="D311">
        <v>3.488372266292572E-2</v>
      </c>
    </row>
    <row r="312" spans="1:4" x14ac:dyDescent="0.55000000000000004">
      <c r="A312" t="s">
        <v>71</v>
      </c>
      <c r="B312" t="s">
        <v>48</v>
      </c>
      <c r="C312">
        <v>6.8205505609512329E-2</v>
      </c>
      <c r="D312">
        <v>-6.9444447755813599E-2</v>
      </c>
    </row>
    <row r="313" spans="1:4" x14ac:dyDescent="0.55000000000000004">
      <c r="A313" t="s">
        <v>61</v>
      </c>
      <c r="B313" t="s">
        <v>51</v>
      </c>
      <c r="C313">
        <v>8.673539012670517E-2</v>
      </c>
      <c r="D313">
        <v>-8.287292905151844E-3</v>
      </c>
    </row>
    <row r="314" spans="1:4" x14ac:dyDescent="0.55000000000000004">
      <c r="A314" t="s">
        <v>54</v>
      </c>
      <c r="B314" t="s">
        <v>48</v>
      </c>
      <c r="C314">
        <v>8.6841732263565063E-3</v>
      </c>
      <c r="D314">
        <v>-7.5757578015327454E-2</v>
      </c>
    </row>
    <row r="315" spans="1:4" x14ac:dyDescent="0.55000000000000004">
      <c r="A315" t="s">
        <v>80</v>
      </c>
      <c r="B315" t="s">
        <v>48</v>
      </c>
      <c r="C315">
        <v>9.7031392157077789E-2</v>
      </c>
      <c r="D315">
        <v>-9.6153849735856056E-3</v>
      </c>
    </row>
    <row r="316" spans="1:4" x14ac:dyDescent="0.55000000000000004">
      <c r="A316" t="s">
        <v>75</v>
      </c>
      <c r="B316" t="s">
        <v>48</v>
      </c>
      <c r="C316">
        <v>6.158200278878212E-2</v>
      </c>
      <c r="D316">
        <v>-2.6104418560862541E-2</v>
      </c>
    </row>
    <row r="317" spans="1:4" x14ac:dyDescent="0.55000000000000004">
      <c r="A317" t="s">
        <v>60</v>
      </c>
      <c r="B317" t="s">
        <v>48</v>
      </c>
      <c r="C317">
        <v>2.5752432644367218E-2</v>
      </c>
      <c r="D317">
        <v>-7.8947365283966064E-2</v>
      </c>
    </row>
    <row r="318" spans="1:4" x14ac:dyDescent="0.55000000000000004">
      <c r="A318" t="s">
        <v>56</v>
      </c>
      <c r="B318" t="s">
        <v>46</v>
      </c>
      <c r="C318">
        <v>2.9005639255046844E-2</v>
      </c>
      <c r="D318">
        <v>-7.1428574621677399E-2</v>
      </c>
    </row>
    <row r="319" spans="1:4" x14ac:dyDescent="0.55000000000000004">
      <c r="A319" t="s">
        <v>81</v>
      </c>
      <c r="B319" t="s">
        <v>48</v>
      </c>
      <c r="C319">
        <v>-5.9161338955163956E-2</v>
      </c>
      <c r="D319">
        <v>-5.000000074505806E-2</v>
      </c>
    </row>
    <row r="320" spans="1:4" x14ac:dyDescent="0.55000000000000004">
      <c r="A320" t="s">
        <v>55</v>
      </c>
      <c r="B320" t="s">
        <v>48</v>
      </c>
      <c r="C320">
        <v>9.0204700827598572E-2</v>
      </c>
      <c r="D320">
        <v>0</v>
      </c>
    </row>
    <row r="321" spans="1:4" x14ac:dyDescent="0.55000000000000004">
      <c r="A321" t="s">
        <v>58</v>
      </c>
      <c r="B321" t="s">
        <v>48</v>
      </c>
      <c r="C321">
        <v>8.6081191897392273E-2</v>
      </c>
      <c r="D321">
        <v>-0.1666666716337204</v>
      </c>
    </row>
    <row r="322" spans="1:4" x14ac:dyDescent="0.55000000000000004">
      <c r="A322" t="s">
        <v>72</v>
      </c>
      <c r="B322" t="s">
        <v>48</v>
      </c>
      <c r="C322">
        <v>-0.17671290040016174</v>
      </c>
      <c r="D322">
        <v>-0.20000000298023224</v>
      </c>
    </row>
    <row r="323" spans="1:4" x14ac:dyDescent="0.55000000000000004">
      <c r="A323" t="s">
        <v>52</v>
      </c>
      <c r="B323" t="s">
        <v>48</v>
      </c>
      <c r="C323">
        <v>3.2945673912763596E-2</v>
      </c>
      <c r="D323">
        <v>-6.5015479922294617E-2</v>
      </c>
    </row>
    <row r="324" spans="1:4" x14ac:dyDescent="0.55000000000000004">
      <c r="A324" t="s">
        <v>77</v>
      </c>
      <c r="B324" t="s">
        <v>46</v>
      </c>
      <c r="C324">
        <v>0.43003839254379272</v>
      </c>
      <c r="D324">
        <v>0.20000000298023224</v>
      </c>
    </row>
    <row r="325" spans="1:4" x14ac:dyDescent="0.55000000000000004">
      <c r="A325" t="s">
        <v>71</v>
      </c>
      <c r="B325" t="s">
        <v>48</v>
      </c>
      <c r="C325">
        <v>0.19292807579040527</v>
      </c>
      <c r="D325">
        <v>-3.125E-2</v>
      </c>
    </row>
    <row r="326" spans="1:4" x14ac:dyDescent="0.55000000000000004">
      <c r="A326" t="s">
        <v>47</v>
      </c>
      <c r="B326" t="s">
        <v>48</v>
      </c>
      <c r="C326">
        <v>2.1066987887024879E-2</v>
      </c>
      <c r="D326">
        <v>-7.2916664183139801E-2</v>
      </c>
    </row>
    <row r="327" spans="1:4" x14ac:dyDescent="0.55000000000000004">
      <c r="A327" t="s">
        <v>73</v>
      </c>
      <c r="B327" t="s">
        <v>46</v>
      </c>
      <c r="C327">
        <v>-1.8593242391943932E-2</v>
      </c>
      <c r="D327">
        <v>-0.13333334028720856</v>
      </c>
    </row>
    <row r="328" spans="1:4" x14ac:dyDescent="0.55000000000000004">
      <c r="A328" t="s">
        <v>56</v>
      </c>
      <c r="B328" t="s">
        <v>48</v>
      </c>
      <c r="C328">
        <v>5.9019230306148529E-2</v>
      </c>
      <c r="D328">
        <v>-5.078125E-2</v>
      </c>
    </row>
    <row r="329" spans="1:4" x14ac:dyDescent="0.55000000000000004">
      <c r="A329" t="s">
        <v>74</v>
      </c>
      <c r="B329" t="s">
        <v>48</v>
      </c>
      <c r="C329">
        <v>4.5290760695934296E-2</v>
      </c>
      <c r="D329">
        <v>-4.6610169112682343E-2</v>
      </c>
    </row>
    <row r="330" spans="1:4" x14ac:dyDescent="0.55000000000000004">
      <c r="A330" t="s">
        <v>67</v>
      </c>
      <c r="B330" t="s">
        <v>48</v>
      </c>
      <c r="C330">
        <v>-8.4714211523532867E-2</v>
      </c>
      <c r="D330">
        <v>-0.15000000596046448</v>
      </c>
    </row>
    <row r="331" spans="1:4" x14ac:dyDescent="0.55000000000000004">
      <c r="A331" t="s">
        <v>60</v>
      </c>
      <c r="B331" t="s">
        <v>48</v>
      </c>
      <c r="C331">
        <v>9.3015335500240326E-2</v>
      </c>
      <c r="D331">
        <v>-3.3557047136127949E-3</v>
      </c>
    </row>
    <row r="332" spans="1:4" x14ac:dyDescent="0.55000000000000004">
      <c r="A332" t="s">
        <v>63</v>
      </c>
      <c r="B332" t="s">
        <v>46</v>
      </c>
      <c r="C332">
        <v>0.10266102105379105</v>
      </c>
      <c r="D332">
        <v>0</v>
      </c>
    </row>
    <row r="333" spans="1:4" x14ac:dyDescent="0.55000000000000004">
      <c r="A333" t="s">
        <v>67</v>
      </c>
      <c r="B333" t="s">
        <v>51</v>
      </c>
      <c r="C333">
        <v>9.7433961927890778E-2</v>
      </c>
      <c r="D333">
        <v>0</v>
      </c>
    </row>
    <row r="334" spans="1:4" x14ac:dyDescent="0.55000000000000004">
      <c r="A334" t="s">
        <v>62</v>
      </c>
      <c r="B334" t="s">
        <v>53</v>
      </c>
      <c r="C334">
        <v>8.5695922374725342E-2</v>
      </c>
      <c r="D334">
        <v>-9.0361446142196655E-2</v>
      </c>
    </row>
    <row r="335" spans="1:4" x14ac:dyDescent="0.55000000000000004">
      <c r="A335" t="s">
        <v>52</v>
      </c>
      <c r="B335" t="s">
        <v>53</v>
      </c>
      <c r="C335">
        <v>0.10747158527374268</v>
      </c>
      <c r="D335">
        <v>2.222222276031971E-2</v>
      </c>
    </row>
    <row r="336" spans="1:4" x14ac:dyDescent="0.55000000000000004">
      <c r="A336" t="s">
        <v>70</v>
      </c>
      <c r="B336" t="s">
        <v>51</v>
      </c>
      <c r="C336">
        <v>6.9967247545719147E-2</v>
      </c>
      <c r="D336">
        <v>-3.4146342426538467E-2</v>
      </c>
    </row>
    <row r="337" spans="1:4" x14ac:dyDescent="0.55000000000000004">
      <c r="A337" t="s">
        <v>73</v>
      </c>
      <c r="B337" t="s">
        <v>51</v>
      </c>
      <c r="C337">
        <v>9.8922699689865112E-2</v>
      </c>
      <c r="D337">
        <v>0</v>
      </c>
    </row>
    <row r="338" spans="1:4" x14ac:dyDescent="0.55000000000000004">
      <c r="A338" t="s">
        <v>72</v>
      </c>
      <c r="B338" t="s">
        <v>51</v>
      </c>
      <c r="C338">
        <v>-3.5887531936168671E-2</v>
      </c>
      <c r="D338">
        <v>-0.12285714596509933</v>
      </c>
    </row>
    <row r="339" spans="1:4" x14ac:dyDescent="0.55000000000000004">
      <c r="A339" t="s">
        <v>45</v>
      </c>
      <c r="B339" t="s">
        <v>53</v>
      </c>
      <c r="C339">
        <v>9.6866220235824585E-2</v>
      </c>
      <c r="D339">
        <v>-5.95238097012043E-2</v>
      </c>
    </row>
    <row r="340" spans="1:4" x14ac:dyDescent="0.55000000000000004">
      <c r="A340" t="s">
        <v>63</v>
      </c>
      <c r="B340" t="s">
        <v>46</v>
      </c>
      <c r="C340">
        <v>-0.48746734857559204</v>
      </c>
      <c r="D340">
        <v>-0.5</v>
      </c>
    </row>
    <row r="341" spans="1:4" x14ac:dyDescent="0.55000000000000004">
      <c r="A341" t="s">
        <v>55</v>
      </c>
      <c r="B341" t="s">
        <v>48</v>
      </c>
      <c r="C341">
        <v>4.9316830933094025E-2</v>
      </c>
      <c r="D341">
        <v>-4.9382716417312622E-2</v>
      </c>
    </row>
    <row r="342" spans="1:4" x14ac:dyDescent="0.55000000000000004">
      <c r="A342" t="s">
        <v>57</v>
      </c>
      <c r="B342" t="s">
        <v>53</v>
      </c>
      <c r="C342">
        <v>8.8947080075740814E-2</v>
      </c>
      <c r="D342">
        <v>-4.505813866853714E-2</v>
      </c>
    </row>
    <row r="343" spans="1:4" x14ac:dyDescent="0.55000000000000004">
      <c r="A343" t="s">
        <v>77</v>
      </c>
      <c r="B343" t="s">
        <v>48</v>
      </c>
      <c r="C343">
        <v>2.5338873267173767E-2</v>
      </c>
      <c r="D343">
        <v>-6.6666670143604279E-2</v>
      </c>
    </row>
    <row r="344" spans="1:4" x14ac:dyDescent="0.55000000000000004">
      <c r="A344" t="s">
        <v>72</v>
      </c>
      <c r="B344" t="s">
        <v>46</v>
      </c>
      <c r="C344">
        <v>0.17396938800811768</v>
      </c>
      <c r="D344">
        <v>6.5217390656471252E-2</v>
      </c>
    </row>
    <row r="345" spans="1:4" x14ac:dyDescent="0.55000000000000004">
      <c r="A345" t="s">
        <v>50</v>
      </c>
      <c r="B345" t="s">
        <v>51</v>
      </c>
      <c r="C345">
        <v>0.10343616455793381</v>
      </c>
      <c r="D345">
        <v>-2.4793388321995735E-2</v>
      </c>
    </row>
    <row r="346" spans="1:4" x14ac:dyDescent="0.55000000000000004">
      <c r="A346" t="s">
        <v>66</v>
      </c>
      <c r="B346" t="s">
        <v>48</v>
      </c>
      <c r="C346">
        <v>0.24088816344738007</v>
      </c>
      <c r="D346">
        <v>0.1428571492433548</v>
      </c>
    </row>
    <row r="347" spans="1:4" x14ac:dyDescent="0.55000000000000004">
      <c r="A347" t="s">
        <v>69</v>
      </c>
      <c r="B347" t="s">
        <v>53</v>
      </c>
      <c r="C347">
        <v>0.18346098065376282</v>
      </c>
      <c r="D347">
        <v>0</v>
      </c>
    </row>
    <row r="348" spans="1:4" x14ac:dyDescent="0.55000000000000004">
      <c r="A348" t="s">
        <v>68</v>
      </c>
      <c r="B348" t="s">
        <v>53</v>
      </c>
      <c r="C348">
        <v>-5.5371470749378204E-2</v>
      </c>
      <c r="D348">
        <v>-0.10000000149011612</v>
      </c>
    </row>
    <row r="349" spans="1:4" x14ac:dyDescent="0.55000000000000004">
      <c r="A349" t="s">
        <v>49</v>
      </c>
      <c r="B349" t="s">
        <v>53</v>
      </c>
      <c r="C349">
        <v>6.0576088726520538E-2</v>
      </c>
      <c r="D349">
        <v>-3.1626507639884949E-2</v>
      </c>
    </row>
    <row r="350" spans="1:4" x14ac:dyDescent="0.55000000000000004">
      <c r="A350" t="s">
        <v>72</v>
      </c>
      <c r="B350" t="s">
        <v>51</v>
      </c>
      <c r="C350">
        <v>-6.5439678728580475E-2</v>
      </c>
      <c r="D350">
        <v>-9.6153847873210907E-2</v>
      </c>
    </row>
    <row r="351" spans="1:4" x14ac:dyDescent="0.55000000000000004">
      <c r="A351" t="s">
        <v>75</v>
      </c>
      <c r="B351" t="s">
        <v>59</v>
      </c>
      <c r="C351">
        <v>0.11372551321983337</v>
      </c>
      <c r="D351">
        <v>0</v>
      </c>
    </row>
    <row r="352" spans="1:4" x14ac:dyDescent="0.55000000000000004">
      <c r="A352" t="s">
        <v>71</v>
      </c>
      <c r="B352" t="s">
        <v>59</v>
      </c>
      <c r="C352">
        <v>-0.25761315226554871</v>
      </c>
      <c r="D352">
        <v>-0.25</v>
      </c>
    </row>
    <row r="353" spans="1:4" x14ac:dyDescent="0.55000000000000004">
      <c r="A353" t="s">
        <v>60</v>
      </c>
      <c r="B353" t="s">
        <v>48</v>
      </c>
      <c r="C353">
        <v>9.2130005359649658E-3</v>
      </c>
      <c r="D353">
        <v>-3.9682541042566299E-2</v>
      </c>
    </row>
    <row r="354" spans="1:4" x14ac:dyDescent="0.55000000000000004">
      <c r="A354" t="s">
        <v>63</v>
      </c>
      <c r="B354" t="s">
        <v>51</v>
      </c>
      <c r="C354">
        <v>7.4475191533565521E-2</v>
      </c>
      <c r="D354">
        <v>-0.10000000149011612</v>
      </c>
    </row>
    <row r="355" spans="1:4" x14ac:dyDescent="0.55000000000000004">
      <c r="A355" t="s">
        <v>50</v>
      </c>
      <c r="B355" t="s">
        <v>51</v>
      </c>
      <c r="C355">
        <v>-5.8801300823688507E-2</v>
      </c>
      <c r="D355">
        <v>0</v>
      </c>
    </row>
    <row r="356" spans="1:4" x14ac:dyDescent="0.55000000000000004">
      <c r="A356" t="s">
        <v>66</v>
      </c>
      <c r="B356" t="s">
        <v>53</v>
      </c>
      <c r="C356">
        <v>0.10842394828796387</v>
      </c>
      <c r="D356">
        <v>-1.7571885138750076E-2</v>
      </c>
    </row>
    <row r="357" spans="1:4" x14ac:dyDescent="0.55000000000000004">
      <c r="A357" t="s">
        <v>80</v>
      </c>
      <c r="B357" t="s">
        <v>51</v>
      </c>
      <c r="C357">
        <v>8.0827042460441589E-2</v>
      </c>
      <c r="D357">
        <v>-3.4552846103906631E-2</v>
      </c>
    </row>
    <row r="358" spans="1:4" x14ac:dyDescent="0.55000000000000004">
      <c r="A358" t="s">
        <v>72</v>
      </c>
      <c r="B358" t="s">
        <v>59</v>
      </c>
      <c r="C358">
        <v>0.30541661381721497</v>
      </c>
      <c r="D358">
        <v>0.1666666716337204</v>
      </c>
    </row>
    <row r="359" spans="1:4" x14ac:dyDescent="0.55000000000000004">
      <c r="A359" t="s">
        <v>67</v>
      </c>
      <c r="B359" t="s">
        <v>48</v>
      </c>
      <c r="C359">
        <v>4.0263719856739044E-2</v>
      </c>
      <c r="D359">
        <v>-5.55555559694767E-2</v>
      </c>
    </row>
    <row r="360" spans="1:4" x14ac:dyDescent="0.55000000000000004">
      <c r="A360" t="s">
        <v>74</v>
      </c>
      <c r="B360" t="s">
        <v>51</v>
      </c>
      <c r="C360">
        <v>6.0929872095584869E-2</v>
      </c>
      <c r="D360">
        <v>-4.1666667908430099E-2</v>
      </c>
    </row>
    <row r="361" spans="1:4" x14ac:dyDescent="0.55000000000000004">
      <c r="A361" t="s">
        <v>81</v>
      </c>
      <c r="B361" t="s">
        <v>51</v>
      </c>
      <c r="C361">
        <v>1.9958674907684326E-2</v>
      </c>
      <c r="D361">
        <v>-8.5585586726665497E-2</v>
      </c>
    </row>
    <row r="362" spans="1:4" x14ac:dyDescent="0.55000000000000004">
      <c r="A362" t="s">
        <v>56</v>
      </c>
      <c r="B362" t="s">
        <v>51</v>
      </c>
      <c r="C362">
        <v>0.1032172217965126</v>
      </c>
      <c r="D362">
        <v>-5.128205195069313E-2</v>
      </c>
    </row>
    <row r="363" spans="1:4" x14ac:dyDescent="0.55000000000000004">
      <c r="A363" t="s">
        <v>66</v>
      </c>
      <c r="B363" t="s">
        <v>51</v>
      </c>
      <c r="C363">
        <v>3.7384942173957825E-2</v>
      </c>
      <c r="D363">
        <v>-6.9548875093460083E-2</v>
      </c>
    </row>
    <row r="364" spans="1:4" x14ac:dyDescent="0.55000000000000004">
      <c r="A364" t="s">
        <v>76</v>
      </c>
      <c r="B364" t="s">
        <v>53</v>
      </c>
      <c r="C364">
        <v>0.19514620304107666</v>
      </c>
      <c r="D364">
        <v>2.1739130839705467E-2</v>
      </c>
    </row>
    <row r="365" spans="1:4" x14ac:dyDescent="0.55000000000000004">
      <c r="A365" t="s">
        <v>56</v>
      </c>
      <c r="B365" t="s">
        <v>48</v>
      </c>
      <c r="C365">
        <v>6.0601059347391129E-2</v>
      </c>
      <c r="D365">
        <v>-3.9682541042566299E-2</v>
      </c>
    </row>
    <row r="366" spans="1:4" x14ac:dyDescent="0.55000000000000004">
      <c r="A366" t="s">
        <v>79</v>
      </c>
      <c r="B366" t="s">
        <v>48</v>
      </c>
      <c r="C366">
        <v>-0.10877962410449982</v>
      </c>
      <c r="D366">
        <v>-0.1666666716337204</v>
      </c>
    </row>
    <row r="367" spans="1:4" x14ac:dyDescent="0.55000000000000004">
      <c r="A367" t="s">
        <v>81</v>
      </c>
      <c r="B367" t="s">
        <v>46</v>
      </c>
      <c r="C367">
        <v>1.1077509261667728E-3</v>
      </c>
      <c r="D367">
        <v>-8.3333335816860199E-2</v>
      </c>
    </row>
    <row r="368" spans="1:4" x14ac:dyDescent="0.55000000000000004">
      <c r="A368" t="s">
        <v>54</v>
      </c>
      <c r="B368" t="s">
        <v>46</v>
      </c>
      <c r="C368">
        <v>-4.6070821583271027E-2</v>
      </c>
      <c r="D368">
        <v>-0.10000000149011612</v>
      </c>
    </row>
    <row r="369" spans="1:4" x14ac:dyDescent="0.55000000000000004">
      <c r="A369" t="s">
        <v>58</v>
      </c>
      <c r="B369" t="s">
        <v>59</v>
      </c>
      <c r="C369">
        <v>8.4723301231861115E-2</v>
      </c>
      <c r="D369">
        <v>0</v>
      </c>
    </row>
    <row r="370" spans="1:4" x14ac:dyDescent="0.55000000000000004">
      <c r="A370" t="s">
        <v>80</v>
      </c>
      <c r="B370" t="s">
        <v>59</v>
      </c>
      <c r="C370">
        <v>0.10588590800762177</v>
      </c>
      <c r="D370">
        <v>0</v>
      </c>
    </row>
    <row r="371" spans="1:4" x14ac:dyDescent="0.55000000000000004">
      <c r="A371" t="s">
        <v>52</v>
      </c>
      <c r="B371" t="s">
        <v>48</v>
      </c>
      <c r="C371">
        <v>4.979444295167923E-2</v>
      </c>
      <c r="D371">
        <v>-5.4474707692861557E-2</v>
      </c>
    </row>
    <row r="372" spans="1:4" x14ac:dyDescent="0.55000000000000004">
      <c r="A372" t="s">
        <v>73</v>
      </c>
      <c r="B372" t="s">
        <v>46</v>
      </c>
      <c r="C372">
        <v>3.9171770215034485E-2</v>
      </c>
      <c r="D372">
        <v>-1.8867924809455872E-2</v>
      </c>
    </row>
    <row r="373" spans="1:4" x14ac:dyDescent="0.55000000000000004">
      <c r="A373" t="s">
        <v>64</v>
      </c>
      <c r="B373" t="s">
        <v>46</v>
      </c>
      <c r="C373">
        <v>0.11084011942148209</v>
      </c>
      <c r="D373">
        <v>1.6129031777381897E-2</v>
      </c>
    </row>
    <row r="374" spans="1:4" x14ac:dyDescent="0.55000000000000004">
      <c r="A374" t="s">
        <v>76</v>
      </c>
      <c r="B374" t="s">
        <v>46</v>
      </c>
      <c r="C374">
        <v>-7.9237028956413269E-2</v>
      </c>
      <c r="D374">
        <v>-0.125</v>
      </c>
    </row>
    <row r="375" spans="1:4" x14ac:dyDescent="0.55000000000000004">
      <c r="A375" t="s">
        <v>79</v>
      </c>
      <c r="B375" t="s">
        <v>53</v>
      </c>
      <c r="C375">
        <v>-8.0582037568092346E-2</v>
      </c>
      <c r="D375">
        <v>0</v>
      </c>
    </row>
    <row r="376" spans="1:4" x14ac:dyDescent="0.55000000000000004">
      <c r="A376" t="s">
        <v>69</v>
      </c>
      <c r="B376" t="s">
        <v>51</v>
      </c>
      <c r="C376">
        <v>4.6676546335220337E-2</v>
      </c>
      <c r="D376">
        <v>-5.2419353276491165E-2</v>
      </c>
    </row>
    <row r="377" spans="1:4" x14ac:dyDescent="0.55000000000000004">
      <c r="A377" t="s">
        <v>75</v>
      </c>
      <c r="B377" t="s">
        <v>53</v>
      </c>
      <c r="C377">
        <v>0.12395603954792023</v>
      </c>
      <c r="D377">
        <v>6.6666668280959129E-3</v>
      </c>
    </row>
    <row r="378" spans="1:4" x14ac:dyDescent="0.55000000000000004">
      <c r="A378" t="s">
        <v>75</v>
      </c>
      <c r="B378" t="s">
        <v>53</v>
      </c>
      <c r="C378">
        <v>3.8888268172740936E-2</v>
      </c>
      <c r="D378">
        <v>-2.1897809579968452E-2</v>
      </c>
    </row>
    <row r="379" spans="1:4" x14ac:dyDescent="0.55000000000000004">
      <c r="A379" t="s">
        <v>54</v>
      </c>
      <c r="B379" t="s">
        <v>53</v>
      </c>
      <c r="C379">
        <v>2.8930190950632095E-2</v>
      </c>
      <c r="D379">
        <v>-6.4257025718688965E-2</v>
      </c>
    </row>
    <row r="380" spans="1:4" x14ac:dyDescent="0.55000000000000004">
      <c r="A380" t="s">
        <v>75</v>
      </c>
      <c r="B380" t="s">
        <v>46</v>
      </c>
      <c r="C380">
        <v>6.472444161772728E-3</v>
      </c>
      <c r="D380">
        <v>-4.1666667908430099E-2</v>
      </c>
    </row>
    <row r="381" spans="1:4" x14ac:dyDescent="0.55000000000000004">
      <c r="A381" t="s">
        <v>81</v>
      </c>
      <c r="B381" t="s">
        <v>48</v>
      </c>
      <c r="C381">
        <v>7.8325897455215454E-2</v>
      </c>
      <c r="D381">
        <v>0</v>
      </c>
    </row>
    <row r="382" spans="1:4" x14ac:dyDescent="0.55000000000000004">
      <c r="A382" t="s">
        <v>79</v>
      </c>
      <c r="B382" t="s">
        <v>48</v>
      </c>
      <c r="C382">
        <v>8.2991361618041992E-2</v>
      </c>
      <c r="D382">
        <v>0</v>
      </c>
    </row>
    <row r="383" spans="1:4" x14ac:dyDescent="0.55000000000000004">
      <c r="A383" t="s">
        <v>61</v>
      </c>
      <c r="B383" t="s">
        <v>48</v>
      </c>
      <c r="C383">
        <v>-4.9342326819896698E-2</v>
      </c>
      <c r="D383">
        <v>-0.13235294818878174</v>
      </c>
    </row>
    <row r="384" spans="1:4" x14ac:dyDescent="0.55000000000000004">
      <c r="A384" t="s">
        <v>67</v>
      </c>
      <c r="B384" t="s">
        <v>46</v>
      </c>
      <c r="C384">
        <v>0.43120020627975464</v>
      </c>
      <c r="D384">
        <v>0.25</v>
      </c>
    </row>
    <row r="385" spans="1:4" x14ac:dyDescent="0.55000000000000004">
      <c r="A385" t="s">
        <v>70</v>
      </c>
      <c r="B385" t="s">
        <v>48</v>
      </c>
      <c r="C385">
        <v>-4.0904391556978226E-2</v>
      </c>
      <c r="D385">
        <v>-0.190476194024086</v>
      </c>
    </row>
    <row r="386" spans="1:4" x14ac:dyDescent="0.55000000000000004">
      <c r="A386" t="s">
        <v>66</v>
      </c>
      <c r="B386" t="s">
        <v>48</v>
      </c>
      <c r="C386">
        <v>7.4952676892280579E-2</v>
      </c>
      <c r="D386">
        <v>-4.0909089148044586E-2</v>
      </c>
    </row>
    <row r="387" spans="1:4" x14ac:dyDescent="0.55000000000000004">
      <c r="A387" t="s">
        <v>80</v>
      </c>
      <c r="B387" t="s">
        <v>46</v>
      </c>
      <c r="C387">
        <v>-0.22554270923137665</v>
      </c>
      <c r="D387">
        <v>-0.3333333432674408</v>
      </c>
    </row>
    <row r="388" spans="1:4" x14ac:dyDescent="0.55000000000000004">
      <c r="A388" t="s">
        <v>57</v>
      </c>
      <c r="B388" t="s">
        <v>48</v>
      </c>
      <c r="C388">
        <v>3.8496654480695724E-2</v>
      </c>
      <c r="D388">
        <v>-5.656108632683754E-2</v>
      </c>
    </row>
    <row r="389" spans="1:4" x14ac:dyDescent="0.55000000000000004">
      <c r="A389" t="s">
        <v>62</v>
      </c>
      <c r="B389" t="s">
        <v>46</v>
      </c>
      <c r="C389">
        <v>4.030904546380043E-2</v>
      </c>
      <c r="D389">
        <v>0</v>
      </c>
    </row>
    <row r="390" spans="1:4" x14ac:dyDescent="0.55000000000000004">
      <c r="A390" t="s">
        <v>55</v>
      </c>
      <c r="B390" t="s">
        <v>46</v>
      </c>
      <c r="C390">
        <v>-0.13258565962314606</v>
      </c>
      <c r="D390">
        <v>-0.1785714328289032</v>
      </c>
    </row>
    <row r="391" spans="1:4" x14ac:dyDescent="0.55000000000000004">
      <c r="A391" t="s">
        <v>72</v>
      </c>
      <c r="B391" t="s">
        <v>59</v>
      </c>
      <c r="C391">
        <v>0.13171420991420746</v>
      </c>
      <c r="D391">
        <v>0</v>
      </c>
    </row>
    <row r="392" spans="1:4" x14ac:dyDescent="0.55000000000000004">
      <c r="A392" t="s">
        <v>80</v>
      </c>
      <c r="B392" t="s">
        <v>59</v>
      </c>
      <c r="C392">
        <v>0.1552191823720932</v>
      </c>
      <c r="D392">
        <v>0</v>
      </c>
    </row>
    <row r="393" spans="1:4" x14ac:dyDescent="0.55000000000000004">
      <c r="A393" t="s">
        <v>74</v>
      </c>
      <c r="B393" t="s">
        <v>46</v>
      </c>
      <c r="C393">
        <v>-0.23212079703807831</v>
      </c>
      <c r="D393">
        <v>-0.25</v>
      </c>
    </row>
    <row r="394" spans="1:4" x14ac:dyDescent="0.55000000000000004">
      <c r="A394" t="s">
        <v>70</v>
      </c>
      <c r="B394" t="s">
        <v>46</v>
      </c>
      <c r="C394">
        <v>4.8797141760587692E-2</v>
      </c>
      <c r="D394">
        <v>0</v>
      </c>
    </row>
    <row r="395" spans="1:4" x14ac:dyDescent="0.55000000000000004">
      <c r="A395" t="s">
        <v>80</v>
      </c>
      <c r="B395" t="s">
        <v>46</v>
      </c>
      <c r="C395">
        <v>0.112649105489254</v>
      </c>
      <c r="D395">
        <v>0</v>
      </c>
    </row>
    <row r="396" spans="1:4" x14ac:dyDescent="0.55000000000000004">
      <c r="A396" t="s">
        <v>72</v>
      </c>
      <c r="B396" t="s">
        <v>46</v>
      </c>
      <c r="C396">
        <v>8.0509021878242493E-2</v>
      </c>
      <c r="D396">
        <v>0</v>
      </c>
    </row>
    <row r="397" spans="1:4" x14ac:dyDescent="0.55000000000000004">
      <c r="A397" t="s">
        <v>80</v>
      </c>
      <c r="B397" t="s">
        <v>48</v>
      </c>
      <c r="C397">
        <v>5.0124134868383408E-2</v>
      </c>
      <c r="D397">
        <v>-5.4112553596496582E-2</v>
      </c>
    </row>
    <row r="398" spans="1:4" x14ac:dyDescent="0.55000000000000004">
      <c r="A398" t="s">
        <v>56</v>
      </c>
      <c r="B398" t="s">
        <v>48</v>
      </c>
      <c r="C398">
        <v>2.5600770488381386E-2</v>
      </c>
      <c r="D398">
        <v>-5.714285746216774E-2</v>
      </c>
    </row>
    <row r="399" spans="1:4" x14ac:dyDescent="0.55000000000000004">
      <c r="A399" t="s">
        <v>67</v>
      </c>
      <c r="B399" t="s">
        <v>53</v>
      </c>
      <c r="C399">
        <v>3.5838469862937927E-2</v>
      </c>
      <c r="D399">
        <v>-6.2925167381763458E-2</v>
      </c>
    </row>
    <row r="400" spans="1:4" x14ac:dyDescent="0.55000000000000004">
      <c r="A400" t="s">
        <v>71</v>
      </c>
      <c r="B400" t="s">
        <v>53</v>
      </c>
      <c r="C400">
        <v>-7.3381125926971436E-2</v>
      </c>
      <c r="D400">
        <v>-0.10000000149011612</v>
      </c>
    </row>
    <row r="401" spans="1:4" x14ac:dyDescent="0.55000000000000004">
      <c r="A401" t="s">
        <v>64</v>
      </c>
      <c r="B401" t="s">
        <v>53</v>
      </c>
      <c r="C401">
        <v>9.9066764116287231E-2</v>
      </c>
      <c r="D401">
        <v>-2.7450980618596077E-2</v>
      </c>
    </row>
    <row r="402" spans="1:4" x14ac:dyDescent="0.55000000000000004">
      <c r="A402" t="s">
        <v>68</v>
      </c>
      <c r="B402" t="s">
        <v>53</v>
      </c>
      <c r="C402">
        <v>2.1736731752753258E-2</v>
      </c>
      <c r="D402">
        <v>-7.1428574621677399E-2</v>
      </c>
    </row>
    <row r="403" spans="1:4" x14ac:dyDescent="0.55000000000000004">
      <c r="A403" t="s">
        <v>57</v>
      </c>
      <c r="B403" t="s">
        <v>53</v>
      </c>
      <c r="C403">
        <v>5.6293666362762451E-2</v>
      </c>
      <c r="D403">
        <v>-5.9633027762174606E-2</v>
      </c>
    </row>
    <row r="404" spans="1:4" x14ac:dyDescent="0.55000000000000004">
      <c r="A404" t="s">
        <v>81</v>
      </c>
      <c r="B404" t="s">
        <v>48</v>
      </c>
      <c r="C404">
        <v>6.3964270055294037E-2</v>
      </c>
      <c r="D404">
        <v>-4.8672568053007126E-2</v>
      </c>
    </row>
    <row r="405" spans="1:4" x14ac:dyDescent="0.55000000000000004">
      <c r="A405" t="s">
        <v>75</v>
      </c>
      <c r="B405" t="s">
        <v>53</v>
      </c>
      <c r="C405">
        <v>7.2253845632076263E-2</v>
      </c>
      <c r="D405">
        <v>-4.3624162673950195E-2</v>
      </c>
    </row>
    <row r="406" spans="1:4" x14ac:dyDescent="0.55000000000000004">
      <c r="A406" t="s">
        <v>70</v>
      </c>
      <c r="B406" t="s">
        <v>53</v>
      </c>
      <c r="C406">
        <v>6.0399878770112991E-2</v>
      </c>
      <c r="D406">
        <v>-3.6982249468564987E-2</v>
      </c>
    </row>
    <row r="407" spans="1:4" x14ac:dyDescent="0.55000000000000004">
      <c r="A407" t="s">
        <v>75</v>
      </c>
      <c r="B407" t="s">
        <v>51</v>
      </c>
      <c r="C407">
        <v>8.9354902505874634E-2</v>
      </c>
      <c r="D407">
        <v>0</v>
      </c>
    </row>
    <row r="408" spans="1:4" x14ac:dyDescent="0.55000000000000004">
      <c r="A408" t="s">
        <v>45</v>
      </c>
      <c r="B408" t="s">
        <v>51</v>
      </c>
      <c r="C408">
        <v>-5.3545080125331879E-2</v>
      </c>
      <c r="D408">
        <v>-0.10404624044895172</v>
      </c>
    </row>
    <row r="409" spans="1:4" x14ac:dyDescent="0.55000000000000004">
      <c r="A409" t="s">
        <v>74</v>
      </c>
      <c r="B409" t="s">
        <v>51</v>
      </c>
      <c r="C409">
        <v>-3.8397791795432568E-3</v>
      </c>
      <c r="D409">
        <v>-6.8493150174617767E-2</v>
      </c>
    </row>
    <row r="410" spans="1:4" x14ac:dyDescent="0.55000000000000004">
      <c r="A410" t="s">
        <v>62</v>
      </c>
      <c r="B410" t="s">
        <v>51</v>
      </c>
      <c r="C410">
        <v>1.6287731006741524E-2</v>
      </c>
      <c r="D410">
        <v>-9.5238097012042999E-2</v>
      </c>
    </row>
    <row r="411" spans="1:4" x14ac:dyDescent="0.55000000000000004">
      <c r="A411" t="s">
        <v>71</v>
      </c>
      <c r="B411" t="s">
        <v>53</v>
      </c>
      <c r="C411">
        <v>0.12654833495616913</v>
      </c>
      <c r="D411">
        <v>1.8181817606091499E-2</v>
      </c>
    </row>
    <row r="412" spans="1:4" x14ac:dyDescent="0.55000000000000004">
      <c r="A412" t="s">
        <v>49</v>
      </c>
      <c r="B412" t="s">
        <v>51</v>
      </c>
      <c r="C412">
        <v>0.23577798902988434</v>
      </c>
      <c r="D412">
        <v>0</v>
      </c>
    </row>
    <row r="413" spans="1:4" x14ac:dyDescent="0.55000000000000004">
      <c r="A413" t="s">
        <v>64</v>
      </c>
      <c r="B413" t="s">
        <v>53</v>
      </c>
      <c r="C413">
        <v>6.29163458943367E-2</v>
      </c>
      <c r="D413">
        <v>-4.2183622717857361E-2</v>
      </c>
    </row>
    <row r="414" spans="1:4" x14ac:dyDescent="0.55000000000000004">
      <c r="A414" t="s">
        <v>45</v>
      </c>
      <c r="B414" t="s">
        <v>51</v>
      </c>
      <c r="C414">
        <v>0.26009669899940491</v>
      </c>
      <c r="D414">
        <v>0</v>
      </c>
    </row>
    <row r="415" spans="1:4" x14ac:dyDescent="0.55000000000000004">
      <c r="A415" t="s">
        <v>47</v>
      </c>
      <c r="B415" t="s">
        <v>51</v>
      </c>
      <c r="C415">
        <v>8.9858353137969971E-2</v>
      </c>
      <c r="D415">
        <v>-1.785714365541935E-2</v>
      </c>
    </row>
    <row r="416" spans="1:4" x14ac:dyDescent="0.55000000000000004">
      <c r="A416" t="s">
        <v>47</v>
      </c>
      <c r="B416" t="s">
        <v>48</v>
      </c>
      <c r="C416">
        <v>4.6593494713306427E-2</v>
      </c>
      <c r="D416">
        <v>-6.5217390656471252E-2</v>
      </c>
    </row>
    <row r="417" spans="1:4" x14ac:dyDescent="0.55000000000000004">
      <c r="A417" t="s">
        <v>76</v>
      </c>
      <c r="B417" t="s">
        <v>53</v>
      </c>
      <c r="C417">
        <v>5.4698500782251358E-2</v>
      </c>
      <c r="D417">
        <v>-5.6962024420499802E-2</v>
      </c>
    </row>
    <row r="418" spans="1:4" x14ac:dyDescent="0.55000000000000004">
      <c r="A418" t="s">
        <v>60</v>
      </c>
      <c r="B418" t="s">
        <v>53</v>
      </c>
      <c r="C418">
        <v>2.3039506748318672E-2</v>
      </c>
      <c r="D418">
        <v>-6.0975611209869385E-2</v>
      </c>
    </row>
    <row r="419" spans="1:4" x14ac:dyDescent="0.55000000000000004">
      <c r="A419" t="s">
        <v>49</v>
      </c>
      <c r="B419" t="s">
        <v>51</v>
      </c>
      <c r="C419">
        <v>8.4986612200737E-2</v>
      </c>
      <c r="D419">
        <v>0</v>
      </c>
    </row>
    <row r="420" spans="1:4" x14ac:dyDescent="0.55000000000000004">
      <c r="A420" t="s">
        <v>69</v>
      </c>
      <c r="B420" t="s">
        <v>53</v>
      </c>
      <c r="C420">
        <v>6.9419272243976593E-2</v>
      </c>
      <c r="D420">
        <v>-4.5741323381662369E-2</v>
      </c>
    </row>
    <row r="421" spans="1:4" x14ac:dyDescent="0.55000000000000004">
      <c r="A421" t="s">
        <v>63</v>
      </c>
      <c r="B421" t="s">
        <v>53</v>
      </c>
      <c r="C421">
        <v>0.11916087567806244</v>
      </c>
      <c r="D421">
        <v>-2.34375E-2</v>
      </c>
    </row>
    <row r="422" spans="1:4" x14ac:dyDescent="0.55000000000000004">
      <c r="A422" t="s">
        <v>47</v>
      </c>
      <c r="B422" t="s">
        <v>53</v>
      </c>
      <c r="C422">
        <v>3.5359468311071396E-2</v>
      </c>
      <c r="D422">
        <v>-3.8152609020471573E-2</v>
      </c>
    </row>
    <row r="423" spans="1:4" x14ac:dyDescent="0.55000000000000004">
      <c r="A423" t="s">
        <v>45</v>
      </c>
      <c r="B423" t="s">
        <v>46</v>
      </c>
      <c r="C423">
        <v>0.14849157631397247</v>
      </c>
      <c r="D423">
        <v>0</v>
      </c>
    </row>
    <row r="424" spans="1:4" x14ac:dyDescent="0.55000000000000004">
      <c r="A424" t="s">
        <v>67</v>
      </c>
      <c r="B424" t="s">
        <v>48</v>
      </c>
      <c r="C424">
        <v>-3.0855461955070496E-2</v>
      </c>
      <c r="D424">
        <v>-8.2089550793170929E-2</v>
      </c>
    </row>
    <row r="425" spans="1:4" x14ac:dyDescent="0.55000000000000004">
      <c r="A425" t="s">
        <v>79</v>
      </c>
      <c r="B425" t="s">
        <v>51</v>
      </c>
      <c r="C425">
        <v>4.1800480335950851E-2</v>
      </c>
      <c r="D425">
        <v>-5.2147239446640015E-2</v>
      </c>
    </row>
    <row r="426" spans="1:4" x14ac:dyDescent="0.55000000000000004">
      <c r="A426" t="s">
        <v>64</v>
      </c>
      <c r="B426" t="s">
        <v>51</v>
      </c>
      <c r="C426">
        <v>0.11668860167264938</v>
      </c>
      <c r="D426">
        <v>7.3891626670956612E-3</v>
      </c>
    </row>
    <row r="427" spans="1:4" x14ac:dyDescent="0.55000000000000004">
      <c r="A427" t="s">
        <v>76</v>
      </c>
      <c r="B427" t="s">
        <v>53</v>
      </c>
      <c r="C427">
        <v>7.7094376087188721E-2</v>
      </c>
      <c r="D427">
        <v>-4.4354837387800217E-2</v>
      </c>
    </row>
    <row r="428" spans="1:4" x14ac:dyDescent="0.55000000000000004">
      <c r="A428" t="s">
        <v>49</v>
      </c>
      <c r="B428" t="s">
        <v>46</v>
      </c>
      <c r="C428">
        <v>-0.39442798495292664</v>
      </c>
      <c r="D428">
        <v>-0.5</v>
      </c>
    </row>
    <row r="429" spans="1:4" x14ac:dyDescent="0.55000000000000004">
      <c r="A429" t="s">
        <v>79</v>
      </c>
      <c r="B429" t="s">
        <v>48</v>
      </c>
      <c r="C429">
        <v>2.3537358269095421E-2</v>
      </c>
      <c r="D429">
        <v>-4.2553190141916275E-2</v>
      </c>
    </row>
    <row r="430" spans="1:4" x14ac:dyDescent="0.55000000000000004">
      <c r="A430" t="s">
        <v>77</v>
      </c>
      <c r="B430" t="s">
        <v>53</v>
      </c>
      <c r="C430">
        <v>3.2396607100963593E-2</v>
      </c>
      <c r="D430">
        <v>-4.4117648154497147E-2</v>
      </c>
    </row>
    <row r="431" spans="1:4" x14ac:dyDescent="0.55000000000000004">
      <c r="A431" t="s">
        <v>57</v>
      </c>
      <c r="B431" t="s">
        <v>48</v>
      </c>
      <c r="C431">
        <v>0.12760835886001587</v>
      </c>
      <c r="D431">
        <v>0</v>
      </c>
    </row>
    <row r="432" spans="1:4" x14ac:dyDescent="0.55000000000000004">
      <c r="A432" t="s">
        <v>52</v>
      </c>
      <c r="B432" t="s">
        <v>51</v>
      </c>
      <c r="C432">
        <v>7.8907981514930725E-2</v>
      </c>
      <c r="D432">
        <v>-3.7037037312984467E-2</v>
      </c>
    </row>
    <row r="433" spans="1:4" x14ac:dyDescent="0.55000000000000004">
      <c r="A433" t="s">
        <v>63</v>
      </c>
      <c r="B433" t="s">
        <v>46</v>
      </c>
      <c r="C433">
        <v>-0.30661031603813171</v>
      </c>
      <c r="D433">
        <v>-0.30000001192092896</v>
      </c>
    </row>
    <row r="434" spans="1:4" x14ac:dyDescent="0.55000000000000004">
      <c r="A434" t="s">
        <v>61</v>
      </c>
      <c r="B434" t="s">
        <v>48</v>
      </c>
      <c r="C434">
        <v>8.3526216447353363E-2</v>
      </c>
      <c r="D434">
        <v>-3.8793101906776428E-2</v>
      </c>
    </row>
    <row r="435" spans="1:4" x14ac:dyDescent="0.55000000000000004">
      <c r="A435" t="s">
        <v>45</v>
      </c>
      <c r="B435" t="s">
        <v>53</v>
      </c>
      <c r="C435">
        <v>4.0674023330211639E-2</v>
      </c>
      <c r="D435">
        <v>-5.8098591864109039E-2</v>
      </c>
    </row>
    <row r="436" spans="1:4" x14ac:dyDescent="0.55000000000000004">
      <c r="A436" t="s">
        <v>68</v>
      </c>
      <c r="B436" t="s">
        <v>53</v>
      </c>
      <c r="C436">
        <v>8.4342055022716522E-2</v>
      </c>
      <c r="D436">
        <v>0</v>
      </c>
    </row>
    <row r="437" spans="1:4" x14ac:dyDescent="0.55000000000000004">
      <c r="A437" t="s">
        <v>56</v>
      </c>
      <c r="B437" t="s">
        <v>53</v>
      </c>
      <c r="C437">
        <v>8.8809803128242493E-2</v>
      </c>
      <c r="D437">
        <v>-2.2012578323483467E-2</v>
      </c>
    </row>
    <row r="438" spans="1:4" x14ac:dyDescent="0.55000000000000004">
      <c r="A438" t="s">
        <v>77</v>
      </c>
      <c r="B438" t="s">
        <v>51</v>
      </c>
      <c r="C438">
        <v>0.16812588274478912</v>
      </c>
      <c r="D438">
        <v>4.5454546809196472E-2</v>
      </c>
    </row>
    <row r="439" spans="1:4" x14ac:dyDescent="0.55000000000000004">
      <c r="A439" t="s">
        <v>74</v>
      </c>
      <c r="B439" t="s">
        <v>51</v>
      </c>
      <c r="C439">
        <v>9.3179866671562195E-2</v>
      </c>
      <c r="D439">
        <v>5.7471264153718948E-3</v>
      </c>
    </row>
    <row r="440" spans="1:4" x14ac:dyDescent="0.55000000000000004">
      <c r="A440" t="s">
        <v>79</v>
      </c>
      <c r="B440" t="s">
        <v>53</v>
      </c>
      <c r="C440">
        <v>-0.16485036909580231</v>
      </c>
      <c r="D440">
        <v>-0.125</v>
      </c>
    </row>
    <row r="441" spans="1:4" x14ac:dyDescent="0.55000000000000004">
      <c r="A441" t="s">
        <v>67</v>
      </c>
      <c r="B441" t="s">
        <v>53</v>
      </c>
      <c r="C441">
        <v>1.556059718132019E-2</v>
      </c>
      <c r="D441">
        <v>-7.4712641537189484E-2</v>
      </c>
    </row>
    <row r="442" spans="1:4" x14ac:dyDescent="0.55000000000000004">
      <c r="A442" t="s">
        <v>73</v>
      </c>
      <c r="B442" t="s">
        <v>51</v>
      </c>
      <c r="C442">
        <v>0.13389185070991516</v>
      </c>
      <c r="D442">
        <v>-6.0240961611270905E-3</v>
      </c>
    </row>
    <row r="443" spans="1:4" x14ac:dyDescent="0.55000000000000004">
      <c r="A443" t="s">
        <v>66</v>
      </c>
      <c r="B443" t="s">
        <v>51</v>
      </c>
      <c r="C443">
        <v>0.12190613895654678</v>
      </c>
      <c r="D443">
        <v>7.6923076994717121E-3</v>
      </c>
    </row>
    <row r="444" spans="1:4" x14ac:dyDescent="0.55000000000000004">
      <c r="A444" t="s">
        <v>60</v>
      </c>
      <c r="B444" t="s">
        <v>53</v>
      </c>
      <c r="C444">
        <v>9.2979252338409424E-2</v>
      </c>
      <c r="D444">
        <v>-5.4347827099263668E-3</v>
      </c>
    </row>
    <row r="445" spans="1:4" x14ac:dyDescent="0.55000000000000004">
      <c r="A445" t="s">
        <v>67</v>
      </c>
      <c r="B445" t="s">
        <v>51</v>
      </c>
      <c r="C445">
        <v>8.7339878082275391E-2</v>
      </c>
      <c r="D445">
        <v>-5.0403226166963577E-2</v>
      </c>
    </row>
    <row r="446" spans="1:4" x14ac:dyDescent="0.55000000000000004">
      <c r="A446" t="s">
        <v>76</v>
      </c>
      <c r="B446" t="s">
        <v>53</v>
      </c>
      <c r="C446">
        <v>5.9759326279163361E-2</v>
      </c>
      <c r="D446">
        <v>-5.0147492438554764E-2</v>
      </c>
    </row>
    <row r="447" spans="1:4" x14ac:dyDescent="0.55000000000000004">
      <c r="A447" t="s">
        <v>57</v>
      </c>
      <c r="B447" t="s">
        <v>48</v>
      </c>
      <c r="C447">
        <v>0.10682172328233719</v>
      </c>
      <c r="D447">
        <v>-2.0454544574022293E-2</v>
      </c>
    </row>
    <row r="448" spans="1:4" x14ac:dyDescent="0.55000000000000004">
      <c r="A448" t="s">
        <v>47</v>
      </c>
      <c r="B448" t="s">
        <v>53</v>
      </c>
      <c r="C448">
        <v>4.1292198002338409E-2</v>
      </c>
      <c r="D448">
        <v>-4.8484846949577332E-2</v>
      </c>
    </row>
    <row r="449" spans="1:4" x14ac:dyDescent="0.55000000000000004">
      <c r="A449" t="s">
        <v>63</v>
      </c>
      <c r="B449" t="s">
        <v>53</v>
      </c>
      <c r="C449">
        <v>5.738365650177002E-2</v>
      </c>
      <c r="D449">
        <v>-4.8449613153934479E-2</v>
      </c>
    </row>
    <row r="450" spans="1:4" x14ac:dyDescent="0.55000000000000004">
      <c r="A450" t="s">
        <v>75</v>
      </c>
      <c r="B450" t="s">
        <v>51</v>
      </c>
      <c r="C450">
        <v>5.2775759249925613E-2</v>
      </c>
      <c r="D450">
        <v>-5.9999998658895493E-2</v>
      </c>
    </row>
    <row r="451" spans="1:4" x14ac:dyDescent="0.55000000000000004">
      <c r="A451" t="s">
        <v>77</v>
      </c>
      <c r="B451" t="s">
        <v>53</v>
      </c>
      <c r="C451">
        <v>-6.6122815012931824E-2</v>
      </c>
      <c r="D451">
        <v>-0.10563380271196365</v>
      </c>
    </row>
    <row r="452" spans="1:4" x14ac:dyDescent="0.55000000000000004">
      <c r="A452" t="s">
        <v>54</v>
      </c>
      <c r="B452" t="s">
        <v>48</v>
      </c>
      <c r="C452">
        <v>-1.6770454123616219E-2</v>
      </c>
      <c r="D452">
        <v>-8.6956523358821869E-2</v>
      </c>
    </row>
    <row r="453" spans="1:4" x14ac:dyDescent="0.55000000000000004">
      <c r="A453" t="s">
        <v>70</v>
      </c>
      <c r="B453" t="s">
        <v>51</v>
      </c>
      <c r="C453">
        <v>8.7450422346591949E-2</v>
      </c>
      <c r="D453">
        <v>-2.2012578323483467E-2</v>
      </c>
    </row>
    <row r="454" spans="1:4" x14ac:dyDescent="0.55000000000000004">
      <c r="A454" t="s">
        <v>71</v>
      </c>
      <c r="B454" t="s">
        <v>53</v>
      </c>
      <c r="C454">
        <v>-0.14049676060676575</v>
      </c>
      <c r="D454">
        <v>-0.13636364042758942</v>
      </c>
    </row>
    <row r="455" spans="1:4" x14ac:dyDescent="0.55000000000000004">
      <c r="A455" t="s">
        <v>75</v>
      </c>
      <c r="B455" t="s">
        <v>48</v>
      </c>
      <c r="C455">
        <v>5.7699494063854218E-2</v>
      </c>
      <c r="D455">
        <v>-3.0303031206130981E-2</v>
      </c>
    </row>
    <row r="456" spans="1:4" x14ac:dyDescent="0.55000000000000004">
      <c r="A456" t="s">
        <v>54</v>
      </c>
      <c r="B456" t="s">
        <v>46</v>
      </c>
      <c r="C456">
        <v>0.24113315343856812</v>
      </c>
      <c r="D456">
        <v>0</v>
      </c>
    </row>
    <row r="457" spans="1:4" x14ac:dyDescent="0.55000000000000004">
      <c r="A457" t="s">
        <v>60</v>
      </c>
      <c r="B457" t="s">
        <v>48</v>
      </c>
      <c r="C457">
        <v>-0.29316681623458862</v>
      </c>
      <c r="D457">
        <v>-0.30000001192092896</v>
      </c>
    </row>
    <row r="458" spans="1:4" x14ac:dyDescent="0.55000000000000004">
      <c r="A458" t="s">
        <v>79</v>
      </c>
      <c r="B458" t="s">
        <v>51</v>
      </c>
      <c r="C458">
        <v>5.8337096124887466E-2</v>
      </c>
      <c r="D458">
        <v>-3.8461539894342422E-2</v>
      </c>
    </row>
    <row r="459" spans="1:4" x14ac:dyDescent="0.55000000000000004">
      <c r="A459" t="s">
        <v>57</v>
      </c>
      <c r="B459" t="s">
        <v>46</v>
      </c>
      <c r="C459">
        <v>4.3708343058824539E-2</v>
      </c>
      <c r="D459">
        <v>-0.1428571492433548</v>
      </c>
    </row>
    <row r="460" spans="1:4" x14ac:dyDescent="0.55000000000000004">
      <c r="A460" t="s">
        <v>45</v>
      </c>
      <c r="B460" t="s">
        <v>48</v>
      </c>
      <c r="C460">
        <v>-8.5806243121623993E-2</v>
      </c>
      <c r="D460">
        <v>-0.1195652186870575</v>
      </c>
    </row>
    <row r="461" spans="1:4" x14ac:dyDescent="0.55000000000000004">
      <c r="A461" t="s">
        <v>61</v>
      </c>
      <c r="B461" t="s">
        <v>53</v>
      </c>
      <c r="C461">
        <v>7.8899011015892029E-2</v>
      </c>
      <c r="D461">
        <v>-2.7508091181516647E-2</v>
      </c>
    </row>
    <row r="462" spans="1:4" x14ac:dyDescent="0.55000000000000004">
      <c r="A462" t="s">
        <v>70</v>
      </c>
      <c r="B462" t="s">
        <v>46</v>
      </c>
      <c r="C462">
        <v>0.19933384656906128</v>
      </c>
      <c r="D462">
        <v>0.20000000298023224</v>
      </c>
    </row>
    <row r="463" spans="1:4" x14ac:dyDescent="0.55000000000000004">
      <c r="A463" t="s">
        <v>66</v>
      </c>
      <c r="B463" t="s">
        <v>46</v>
      </c>
      <c r="C463">
        <v>-0.35297316312789917</v>
      </c>
      <c r="D463">
        <v>-0.30000001192092896</v>
      </c>
    </row>
    <row r="464" spans="1:4" x14ac:dyDescent="0.55000000000000004">
      <c r="A464" t="s">
        <v>79</v>
      </c>
      <c r="B464" t="s">
        <v>46</v>
      </c>
      <c r="C464">
        <v>-0.47808510065078735</v>
      </c>
      <c r="D464">
        <v>-0.375</v>
      </c>
    </row>
    <row r="465" spans="1:4" x14ac:dyDescent="0.55000000000000004">
      <c r="A465" t="s">
        <v>78</v>
      </c>
      <c r="B465" t="s">
        <v>48</v>
      </c>
      <c r="C465">
        <v>5.0536982715129852E-2</v>
      </c>
      <c r="D465">
        <v>-5.7692307978868484E-2</v>
      </c>
    </row>
    <row r="466" spans="1:4" x14ac:dyDescent="0.55000000000000004">
      <c r="A466" t="s">
        <v>79</v>
      </c>
      <c r="B466" t="s">
        <v>48</v>
      </c>
      <c r="C466">
        <v>-1.8375439569354057E-2</v>
      </c>
      <c r="D466">
        <v>-9.0909093618392944E-2</v>
      </c>
    </row>
    <row r="467" spans="1:4" x14ac:dyDescent="0.55000000000000004">
      <c r="A467" t="s">
        <v>68</v>
      </c>
      <c r="B467" t="s">
        <v>53</v>
      </c>
      <c r="C467">
        <v>5.5503636598587036E-2</v>
      </c>
      <c r="D467">
        <v>-4.1474655270576477E-2</v>
      </c>
    </row>
    <row r="468" spans="1:4" x14ac:dyDescent="0.55000000000000004">
      <c r="A468" t="s">
        <v>70</v>
      </c>
      <c r="B468" t="s">
        <v>48</v>
      </c>
      <c r="C468">
        <v>9.3516476452350616E-2</v>
      </c>
      <c r="D468">
        <v>-4.6875E-2</v>
      </c>
    </row>
    <row r="469" spans="1:4" x14ac:dyDescent="0.55000000000000004">
      <c r="A469" t="s">
        <v>80</v>
      </c>
      <c r="B469" t="s">
        <v>48</v>
      </c>
      <c r="C469">
        <v>0.2129417210817337</v>
      </c>
      <c r="D469">
        <v>5.000000074505806E-2</v>
      </c>
    </row>
    <row r="470" spans="1:4" x14ac:dyDescent="0.55000000000000004">
      <c r="A470" t="s">
        <v>50</v>
      </c>
      <c r="B470" t="s">
        <v>51</v>
      </c>
      <c r="C470">
        <v>0.19429443776607513</v>
      </c>
      <c r="D470">
        <v>4.76190485060215E-2</v>
      </c>
    </row>
    <row r="471" spans="1:4" x14ac:dyDescent="0.55000000000000004">
      <c r="A471" t="s">
        <v>79</v>
      </c>
      <c r="B471" t="s">
        <v>53</v>
      </c>
      <c r="C471">
        <v>8.6280681192874908E-2</v>
      </c>
      <c r="D471">
        <v>-1.6272189095616341E-2</v>
      </c>
    </row>
    <row r="472" spans="1:4" x14ac:dyDescent="0.55000000000000004">
      <c r="A472" t="s">
        <v>75</v>
      </c>
      <c r="B472" t="s">
        <v>51</v>
      </c>
      <c r="C472">
        <v>9.0847916901111603E-2</v>
      </c>
      <c r="D472">
        <v>-6.7114094272255898E-3</v>
      </c>
    </row>
    <row r="473" spans="1:4" x14ac:dyDescent="0.55000000000000004">
      <c r="A473" t="s">
        <v>69</v>
      </c>
      <c r="B473" t="s">
        <v>51</v>
      </c>
      <c r="C473">
        <v>0.17031480371952057</v>
      </c>
      <c r="D473">
        <v>0</v>
      </c>
    </row>
    <row r="474" spans="1:4" x14ac:dyDescent="0.55000000000000004">
      <c r="A474" t="s">
        <v>76</v>
      </c>
      <c r="B474" t="s">
        <v>51</v>
      </c>
      <c r="C474">
        <v>7.1212753653526306E-2</v>
      </c>
      <c r="D474">
        <v>-5.55555559694767E-2</v>
      </c>
    </row>
    <row r="475" spans="1:4" x14ac:dyDescent="0.55000000000000004">
      <c r="A475" t="s">
        <v>65</v>
      </c>
      <c r="B475" t="s">
        <v>51</v>
      </c>
      <c r="C475">
        <v>-0.37331560254096985</v>
      </c>
      <c r="D475">
        <v>-0.3333333432674408</v>
      </c>
    </row>
    <row r="476" spans="1:4" x14ac:dyDescent="0.55000000000000004">
      <c r="A476" t="s">
        <v>57</v>
      </c>
      <c r="B476" t="s">
        <v>53</v>
      </c>
      <c r="C476">
        <v>0.14027078449726105</v>
      </c>
      <c r="D476">
        <v>-2.9411764815449715E-2</v>
      </c>
    </row>
    <row r="477" spans="1:4" x14ac:dyDescent="0.55000000000000004">
      <c r="A477" t="s">
        <v>52</v>
      </c>
      <c r="B477" t="s">
        <v>53</v>
      </c>
      <c r="C477">
        <v>6.4226604998111725E-2</v>
      </c>
      <c r="D477">
        <v>-3.0042918398976326E-2</v>
      </c>
    </row>
    <row r="478" spans="1:4" x14ac:dyDescent="0.55000000000000004">
      <c r="A478" t="s">
        <v>60</v>
      </c>
      <c r="B478" t="s">
        <v>46</v>
      </c>
      <c r="C478">
        <v>-8.0217123031616211E-2</v>
      </c>
      <c r="D478">
        <v>-0.11538461595773697</v>
      </c>
    </row>
    <row r="479" spans="1:4" x14ac:dyDescent="0.55000000000000004">
      <c r="A479" t="s">
        <v>54</v>
      </c>
      <c r="B479" t="s">
        <v>59</v>
      </c>
      <c r="C479">
        <v>-0.15610390901565552</v>
      </c>
      <c r="D479">
        <v>0</v>
      </c>
    </row>
    <row r="480" spans="1:4" x14ac:dyDescent="0.55000000000000004">
      <c r="A480" t="s">
        <v>70</v>
      </c>
      <c r="B480" t="s">
        <v>46</v>
      </c>
      <c r="C480">
        <v>-7.3470674455165863E-2</v>
      </c>
      <c r="D480">
        <v>-0.10000000149011612</v>
      </c>
    </row>
    <row r="481" spans="1:4" x14ac:dyDescent="0.55000000000000004">
      <c r="A481" t="s">
        <v>61</v>
      </c>
      <c r="B481" t="s">
        <v>48</v>
      </c>
      <c r="C481">
        <v>6.0599703341722488E-2</v>
      </c>
      <c r="D481">
        <v>-4.9723755568265915E-2</v>
      </c>
    </row>
    <row r="482" spans="1:4" x14ac:dyDescent="0.55000000000000004">
      <c r="A482" t="s">
        <v>61</v>
      </c>
      <c r="B482" t="s">
        <v>48</v>
      </c>
      <c r="C482">
        <v>0.10051616281270981</v>
      </c>
      <c r="D482">
        <v>-8.3333335816860199E-2</v>
      </c>
    </row>
    <row r="483" spans="1:4" x14ac:dyDescent="0.55000000000000004">
      <c r="A483" t="s">
        <v>62</v>
      </c>
      <c r="B483" t="s">
        <v>46</v>
      </c>
      <c r="C483">
        <v>0.23796434700489044</v>
      </c>
      <c r="D483">
        <v>4.1666667908430099E-2</v>
      </c>
    </row>
    <row r="484" spans="1:4" x14ac:dyDescent="0.55000000000000004">
      <c r="A484" t="s">
        <v>81</v>
      </c>
      <c r="B484" t="s">
        <v>46</v>
      </c>
      <c r="C484">
        <v>7.3920518159866333E-2</v>
      </c>
      <c r="D484">
        <v>0</v>
      </c>
    </row>
    <row r="485" spans="1:4" x14ac:dyDescent="0.55000000000000004">
      <c r="A485" t="s">
        <v>62</v>
      </c>
      <c r="B485" t="s">
        <v>48</v>
      </c>
      <c r="C485">
        <v>7.1686968207359314E-2</v>
      </c>
      <c r="D485">
        <v>-4.4554457068443298E-2</v>
      </c>
    </row>
    <row r="486" spans="1:4" x14ac:dyDescent="0.55000000000000004">
      <c r="A486" t="s">
        <v>56</v>
      </c>
      <c r="B486" t="s">
        <v>46</v>
      </c>
      <c r="C486">
        <v>0.16644412279129028</v>
      </c>
      <c r="D486">
        <v>-0.125</v>
      </c>
    </row>
    <row r="487" spans="1:4" x14ac:dyDescent="0.55000000000000004">
      <c r="A487" t="s">
        <v>45</v>
      </c>
      <c r="B487" t="s">
        <v>51</v>
      </c>
      <c r="C487">
        <v>-4.955904558300972E-2</v>
      </c>
      <c r="D487">
        <v>-0.1071428582072258</v>
      </c>
    </row>
    <row r="488" spans="1:4" x14ac:dyDescent="0.55000000000000004">
      <c r="A488" t="s">
        <v>78</v>
      </c>
      <c r="B488" t="s">
        <v>48</v>
      </c>
      <c r="C488">
        <v>2.736387774348259E-2</v>
      </c>
      <c r="D488">
        <v>-5.457746610045433E-2</v>
      </c>
    </row>
    <row r="489" spans="1:4" x14ac:dyDescent="0.55000000000000004">
      <c r="A489" t="s">
        <v>49</v>
      </c>
      <c r="B489" t="s">
        <v>51</v>
      </c>
      <c r="C489">
        <v>7.0599712431430817E-2</v>
      </c>
      <c r="D489">
        <v>-1.7928287386894226E-2</v>
      </c>
    </row>
    <row r="490" spans="1:4" x14ac:dyDescent="0.55000000000000004">
      <c r="A490" t="s">
        <v>72</v>
      </c>
      <c r="B490" t="s">
        <v>53</v>
      </c>
      <c r="C490">
        <v>2.1121475845575333E-2</v>
      </c>
      <c r="D490">
        <v>-5.8252427726984024E-2</v>
      </c>
    </row>
    <row r="491" spans="1:4" x14ac:dyDescent="0.55000000000000004">
      <c r="A491" t="s">
        <v>73</v>
      </c>
      <c r="B491" t="s">
        <v>53</v>
      </c>
      <c r="C491">
        <v>9.7707629203796387E-2</v>
      </c>
      <c r="D491">
        <v>-3.3898305147886276E-2</v>
      </c>
    </row>
    <row r="492" spans="1:4" x14ac:dyDescent="0.55000000000000004">
      <c r="A492" t="s">
        <v>76</v>
      </c>
      <c r="B492" t="s">
        <v>48</v>
      </c>
      <c r="C492">
        <v>2.4610072374343872E-2</v>
      </c>
      <c r="D492">
        <v>-7.9439252614974976E-2</v>
      </c>
    </row>
    <row r="493" spans="1:4" x14ac:dyDescent="0.55000000000000004">
      <c r="A493" t="s">
        <v>81</v>
      </c>
      <c r="B493" t="s">
        <v>53</v>
      </c>
      <c r="C493">
        <v>1.2865206226706505E-2</v>
      </c>
      <c r="D493">
        <v>-6.4999997615814209E-2</v>
      </c>
    </row>
    <row r="494" spans="1:4" x14ac:dyDescent="0.55000000000000004">
      <c r="A494" t="s">
        <v>49</v>
      </c>
      <c r="B494" t="s">
        <v>48</v>
      </c>
      <c r="C494">
        <v>1.4835496433079243E-2</v>
      </c>
      <c r="D494">
        <v>-8.7452471256256104E-2</v>
      </c>
    </row>
    <row r="495" spans="1:4" x14ac:dyDescent="0.55000000000000004">
      <c r="A495" t="s">
        <v>78</v>
      </c>
      <c r="B495" t="s">
        <v>53</v>
      </c>
      <c r="C495">
        <v>6.4061775803565979E-2</v>
      </c>
      <c r="D495">
        <v>-4.1284404695034027E-2</v>
      </c>
    </row>
    <row r="496" spans="1:4" x14ac:dyDescent="0.55000000000000004">
      <c r="A496" t="s">
        <v>72</v>
      </c>
      <c r="B496" t="s">
        <v>53</v>
      </c>
      <c r="C496">
        <v>1.3721487484872341E-2</v>
      </c>
      <c r="D496">
        <v>-6.1567164957523346E-2</v>
      </c>
    </row>
    <row r="497" spans="1:4" x14ac:dyDescent="0.55000000000000004">
      <c r="A497" t="s">
        <v>56</v>
      </c>
      <c r="B497" t="s">
        <v>53</v>
      </c>
      <c r="C497">
        <v>-1.3453287072479725E-2</v>
      </c>
      <c r="D497">
        <v>-8.0952383577823639E-2</v>
      </c>
    </row>
    <row r="498" spans="1:4" x14ac:dyDescent="0.55000000000000004">
      <c r="A498" t="s">
        <v>77</v>
      </c>
      <c r="B498" t="s">
        <v>53</v>
      </c>
      <c r="C498">
        <v>-0.8574681282043457</v>
      </c>
      <c r="D498">
        <v>-0.5</v>
      </c>
    </row>
    <row r="499" spans="1:4" x14ac:dyDescent="0.55000000000000004">
      <c r="A499" t="s">
        <v>63</v>
      </c>
      <c r="B499" t="s">
        <v>53</v>
      </c>
      <c r="C499">
        <v>4.7539591789245605E-2</v>
      </c>
      <c r="D499">
        <v>-4.36507947742939E-2</v>
      </c>
    </row>
    <row r="500" spans="1:4" x14ac:dyDescent="0.55000000000000004">
      <c r="A500" t="s">
        <v>67</v>
      </c>
      <c r="B500" t="s">
        <v>46</v>
      </c>
      <c r="C500">
        <v>0.10360325127840042</v>
      </c>
      <c r="D500">
        <v>4.76190485060215E-2</v>
      </c>
    </row>
    <row r="501" spans="1:4" x14ac:dyDescent="0.55000000000000004">
      <c r="A501" t="s">
        <v>77</v>
      </c>
      <c r="B501" t="s">
        <v>51</v>
      </c>
      <c r="C501">
        <v>5.9824042022228241E-2</v>
      </c>
      <c r="D501">
        <v>-4.5871559530496597E-2</v>
      </c>
    </row>
    <row r="502" spans="1:4" x14ac:dyDescent="0.55000000000000004">
      <c r="A502" t="s">
        <v>67</v>
      </c>
      <c r="B502" t="s">
        <v>53</v>
      </c>
      <c r="C502">
        <v>0.15802761912345886</v>
      </c>
      <c r="D502">
        <v>-9.765625E-3</v>
      </c>
    </row>
    <row r="503" spans="1:4" x14ac:dyDescent="0.55000000000000004">
      <c r="A503" t="s">
        <v>64</v>
      </c>
      <c r="B503" t="s">
        <v>53</v>
      </c>
      <c r="C503">
        <v>0.10532603412866592</v>
      </c>
      <c r="D503">
        <v>-2.857142873108387E-2</v>
      </c>
    </row>
    <row r="504" spans="1:4" x14ac:dyDescent="0.55000000000000004">
      <c r="A504" t="s">
        <v>64</v>
      </c>
      <c r="B504" t="s">
        <v>51</v>
      </c>
      <c r="C504">
        <v>-0.56098455190658569</v>
      </c>
      <c r="D504">
        <v>-0.66666668653488159</v>
      </c>
    </row>
    <row r="505" spans="1:4" x14ac:dyDescent="0.55000000000000004">
      <c r="A505" t="s">
        <v>68</v>
      </c>
      <c r="B505" t="s">
        <v>51</v>
      </c>
      <c r="C505">
        <v>0.17090776562690735</v>
      </c>
      <c r="D505">
        <v>0</v>
      </c>
    </row>
    <row r="506" spans="1:4" x14ac:dyDescent="0.55000000000000004">
      <c r="A506" t="s">
        <v>52</v>
      </c>
      <c r="B506" t="s">
        <v>53</v>
      </c>
      <c r="C506">
        <v>0.12117061764001846</v>
      </c>
      <c r="D506">
        <v>-1.7374517396092415E-2</v>
      </c>
    </row>
    <row r="507" spans="1:4" x14ac:dyDescent="0.55000000000000004">
      <c r="A507" t="s">
        <v>76</v>
      </c>
      <c r="B507" t="s">
        <v>53</v>
      </c>
      <c r="C507">
        <v>0.13310535252094269</v>
      </c>
      <c r="D507">
        <v>-2.9411765281111002E-3</v>
      </c>
    </row>
    <row r="508" spans="1:4" x14ac:dyDescent="0.55000000000000004">
      <c r="A508" t="s">
        <v>79</v>
      </c>
      <c r="B508" t="s">
        <v>53</v>
      </c>
      <c r="C508">
        <v>5.9973903000354767E-2</v>
      </c>
      <c r="D508">
        <v>-6.3157893717288971E-2</v>
      </c>
    </row>
    <row r="509" spans="1:4" x14ac:dyDescent="0.55000000000000004">
      <c r="A509" t="s">
        <v>57</v>
      </c>
      <c r="B509" t="s">
        <v>53</v>
      </c>
      <c r="C509">
        <v>0.1327245682477951</v>
      </c>
      <c r="D509">
        <v>-2.4630541447550058E-3</v>
      </c>
    </row>
    <row r="510" spans="1:4" x14ac:dyDescent="0.55000000000000004">
      <c r="A510" t="s">
        <v>79</v>
      </c>
      <c r="B510" t="s">
        <v>51</v>
      </c>
      <c r="C510">
        <v>6.3530169427394867E-2</v>
      </c>
      <c r="D510">
        <v>-3.7500001490116119E-2</v>
      </c>
    </row>
    <row r="511" spans="1:4" x14ac:dyDescent="0.55000000000000004">
      <c r="A511" t="s">
        <v>58</v>
      </c>
      <c r="B511" t="s">
        <v>46</v>
      </c>
      <c r="C511">
        <v>0.124813012778759</v>
      </c>
      <c r="D511">
        <v>0</v>
      </c>
    </row>
    <row r="512" spans="1:4" x14ac:dyDescent="0.55000000000000004">
      <c r="A512" t="s">
        <v>57</v>
      </c>
      <c r="B512" t="s">
        <v>59</v>
      </c>
      <c r="C512">
        <v>3.9939064532518387E-2</v>
      </c>
      <c r="D512">
        <v>0</v>
      </c>
    </row>
    <row r="513" spans="1:4" x14ac:dyDescent="0.55000000000000004">
      <c r="A513" t="s">
        <v>78</v>
      </c>
      <c r="B513" t="s">
        <v>46</v>
      </c>
      <c r="C513">
        <v>-0.16903802752494812</v>
      </c>
      <c r="D513">
        <v>-0.25</v>
      </c>
    </row>
    <row r="514" spans="1:4" x14ac:dyDescent="0.55000000000000004">
      <c r="A514" t="s">
        <v>66</v>
      </c>
      <c r="B514" t="s">
        <v>48</v>
      </c>
      <c r="C514">
        <v>9.4366155564785004E-2</v>
      </c>
      <c r="D514">
        <v>1.587301678955555E-2</v>
      </c>
    </row>
    <row r="515" spans="1:4" x14ac:dyDescent="0.55000000000000004">
      <c r="A515" t="s">
        <v>69</v>
      </c>
      <c r="B515" t="s">
        <v>48</v>
      </c>
      <c r="C515">
        <v>-0.10383748263120651</v>
      </c>
      <c r="D515">
        <v>-0.1666666716337204</v>
      </c>
    </row>
    <row r="516" spans="1:4" x14ac:dyDescent="0.55000000000000004">
      <c r="A516" t="s">
        <v>72</v>
      </c>
      <c r="B516" t="s">
        <v>48</v>
      </c>
      <c r="C516">
        <v>0.10191163420677185</v>
      </c>
      <c r="D516">
        <v>-7.6923079788684845E-2</v>
      </c>
    </row>
    <row r="517" spans="1:4" x14ac:dyDescent="0.55000000000000004">
      <c r="A517" t="s">
        <v>74</v>
      </c>
      <c r="B517" t="s">
        <v>48</v>
      </c>
      <c r="C517">
        <v>6.213277205824852E-2</v>
      </c>
      <c r="D517">
        <v>-3.6398466676473618E-2</v>
      </c>
    </row>
    <row r="518" spans="1:4" x14ac:dyDescent="0.55000000000000004">
      <c r="A518" t="s">
        <v>63</v>
      </c>
      <c r="B518" t="s">
        <v>51</v>
      </c>
      <c r="C518">
        <v>4.4327151030302048E-2</v>
      </c>
      <c r="D518">
        <v>-6.3775509595870972E-2</v>
      </c>
    </row>
    <row r="519" spans="1:4" x14ac:dyDescent="0.55000000000000004">
      <c r="A519" t="s">
        <v>75</v>
      </c>
      <c r="B519" t="s">
        <v>46</v>
      </c>
      <c r="C519">
        <v>0.11244505643844604</v>
      </c>
      <c r="D519">
        <v>6.25E-2</v>
      </c>
    </row>
    <row r="520" spans="1:4" x14ac:dyDescent="0.55000000000000004">
      <c r="A520" t="s">
        <v>58</v>
      </c>
      <c r="B520" t="s">
        <v>51</v>
      </c>
      <c r="C520">
        <v>0.1609131246805191</v>
      </c>
      <c r="D520">
        <v>3.7313431967049837E-3</v>
      </c>
    </row>
    <row r="521" spans="1:4" x14ac:dyDescent="0.55000000000000004">
      <c r="A521" t="s">
        <v>65</v>
      </c>
      <c r="B521" t="s">
        <v>48</v>
      </c>
      <c r="C521">
        <v>-0.10539160668849945</v>
      </c>
      <c r="D521">
        <v>-0.12745098769664764</v>
      </c>
    </row>
    <row r="522" spans="1:4" x14ac:dyDescent="0.55000000000000004">
      <c r="A522" t="s">
        <v>56</v>
      </c>
      <c r="B522" t="s">
        <v>48</v>
      </c>
      <c r="C522">
        <v>-0.18346928060054779</v>
      </c>
      <c r="D522">
        <v>-0.22972972691059113</v>
      </c>
    </row>
    <row r="523" spans="1:4" x14ac:dyDescent="0.55000000000000004">
      <c r="A523" t="s">
        <v>55</v>
      </c>
      <c r="B523" t="s">
        <v>53</v>
      </c>
      <c r="C523">
        <v>4.4887799769639969E-2</v>
      </c>
      <c r="D523">
        <v>-3.4210525453090668E-2</v>
      </c>
    </row>
    <row r="524" spans="1:4" x14ac:dyDescent="0.55000000000000004">
      <c r="A524" t="s">
        <v>73</v>
      </c>
      <c r="B524" t="s">
        <v>53</v>
      </c>
      <c r="C524">
        <v>3.0148277059197426E-2</v>
      </c>
      <c r="D524">
        <v>-5.714285746216774E-2</v>
      </c>
    </row>
    <row r="525" spans="1:4" x14ac:dyDescent="0.55000000000000004">
      <c r="A525" t="s">
        <v>62</v>
      </c>
      <c r="B525" t="s">
        <v>46</v>
      </c>
      <c r="C525">
        <v>2.1490773186087608E-2</v>
      </c>
      <c r="D525">
        <v>-5.1724139600992203E-2</v>
      </c>
    </row>
    <row r="526" spans="1:4" x14ac:dyDescent="0.55000000000000004">
      <c r="A526" t="s">
        <v>54</v>
      </c>
      <c r="B526" t="s">
        <v>53</v>
      </c>
      <c r="C526">
        <v>0.11162937432527542</v>
      </c>
      <c r="D526">
        <v>0</v>
      </c>
    </row>
    <row r="527" spans="1:4" x14ac:dyDescent="0.55000000000000004">
      <c r="A527" t="s">
        <v>70</v>
      </c>
      <c r="B527" t="s">
        <v>53</v>
      </c>
      <c r="C527">
        <v>-0.11254309117794037</v>
      </c>
      <c r="D527">
        <v>-9.5238097012042999E-2</v>
      </c>
    </row>
    <row r="528" spans="1:4" x14ac:dyDescent="0.55000000000000004">
      <c r="A528" t="s">
        <v>54</v>
      </c>
      <c r="B528" t="s">
        <v>48</v>
      </c>
      <c r="C528">
        <v>-4.2771819978952408E-2</v>
      </c>
      <c r="D528">
        <v>-0.15384615957736969</v>
      </c>
    </row>
    <row r="529" spans="1:4" x14ac:dyDescent="0.55000000000000004">
      <c r="A529" t="s">
        <v>67</v>
      </c>
      <c r="B529" t="s">
        <v>51</v>
      </c>
      <c r="C529">
        <v>0.16820691525936127</v>
      </c>
      <c r="D529">
        <v>2.857142873108387E-2</v>
      </c>
    </row>
    <row r="530" spans="1:4" x14ac:dyDescent="0.55000000000000004">
      <c r="A530" t="s">
        <v>54</v>
      </c>
      <c r="B530" t="s">
        <v>46</v>
      </c>
      <c r="C530">
        <v>-0.10826140642166138</v>
      </c>
      <c r="D530">
        <v>0</v>
      </c>
    </row>
    <row r="531" spans="1:4" x14ac:dyDescent="0.55000000000000004">
      <c r="A531" t="s">
        <v>65</v>
      </c>
      <c r="B531" t="s">
        <v>53</v>
      </c>
      <c r="C531">
        <v>2.1759621798992157E-2</v>
      </c>
      <c r="D531">
        <v>-5.780346691608429E-2</v>
      </c>
    </row>
    <row r="532" spans="1:4" x14ac:dyDescent="0.55000000000000004">
      <c r="A532" t="s">
        <v>57</v>
      </c>
      <c r="B532" t="s">
        <v>51</v>
      </c>
      <c r="C532">
        <v>0.11171974986791611</v>
      </c>
      <c r="D532">
        <v>0</v>
      </c>
    </row>
    <row r="533" spans="1:4" x14ac:dyDescent="0.55000000000000004">
      <c r="A533" t="s">
        <v>78</v>
      </c>
      <c r="B533" t="s">
        <v>53</v>
      </c>
      <c r="C533">
        <v>-1.031782291829586E-2</v>
      </c>
      <c r="D533">
        <v>-5.8441556990146637E-2</v>
      </c>
    </row>
    <row r="534" spans="1:4" x14ac:dyDescent="0.55000000000000004">
      <c r="A534" t="s">
        <v>65</v>
      </c>
      <c r="B534" t="s">
        <v>53</v>
      </c>
      <c r="C534">
        <v>3.2458089292049408E-2</v>
      </c>
      <c r="D534">
        <v>-5.128205195069313E-2</v>
      </c>
    </row>
    <row r="535" spans="1:4" x14ac:dyDescent="0.55000000000000004">
      <c r="A535" t="s">
        <v>62</v>
      </c>
      <c r="B535" t="s">
        <v>53</v>
      </c>
      <c r="C535">
        <v>-0.19337499141693115</v>
      </c>
      <c r="D535">
        <v>-0.3333333432674408</v>
      </c>
    </row>
    <row r="536" spans="1:4" x14ac:dyDescent="0.55000000000000004">
      <c r="A536" t="s">
        <v>78</v>
      </c>
      <c r="B536" t="s">
        <v>53</v>
      </c>
      <c r="C536">
        <v>3.4990701824426651E-2</v>
      </c>
      <c r="D536">
        <v>-6.8965516984462738E-2</v>
      </c>
    </row>
    <row r="537" spans="1:4" x14ac:dyDescent="0.55000000000000004">
      <c r="A537" t="s">
        <v>57</v>
      </c>
      <c r="B537" t="s">
        <v>48</v>
      </c>
      <c r="C537">
        <v>3.9606273174285889E-2</v>
      </c>
      <c r="D537">
        <v>-5.8252427726984024E-2</v>
      </c>
    </row>
    <row r="538" spans="1:4" x14ac:dyDescent="0.55000000000000004">
      <c r="A538" t="s">
        <v>47</v>
      </c>
      <c r="B538" t="s">
        <v>59</v>
      </c>
      <c r="C538">
        <v>-4.9676809459924698E-2</v>
      </c>
      <c r="D538">
        <v>0</v>
      </c>
    </row>
    <row r="539" spans="1:4" x14ac:dyDescent="0.55000000000000004">
      <c r="A539" t="s">
        <v>55</v>
      </c>
      <c r="B539" t="s">
        <v>51</v>
      </c>
      <c r="C539">
        <v>0.11261322349309921</v>
      </c>
      <c r="D539">
        <v>6.0240961611270905E-3</v>
      </c>
    </row>
    <row r="540" spans="1:4" x14ac:dyDescent="0.55000000000000004">
      <c r="A540" t="s">
        <v>76</v>
      </c>
      <c r="B540" t="s">
        <v>46</v>
      </c>
      <c r="C540">
        <v>-0.49492710828781128</v>
      </c>
      <c r="D540">
        <v>-0.5</v>
      </c>
    </row>
    <row r="541" spans="1:4" x14ac:dyDescent="0.55000000000000004">
      <c r="A541" t="s">
        <v>58</v>
      </c>
      <c r="B541" t="s">
        <v>48</v>
      </c>
      <c r="C541">
        <v>7.274366170167923E-2</v>
      </c>
      <c r="D541">
        <v>-2.500000037252903E-2</v>
      </c>
    </row>
    <row r="542" spans="1:4" x14ac:dyDescent="0.55000000000000004">
      <c r="A542" t="s">
        <v>49</v>
      </c>
      <c r="B542" t="s">
        <v>59</v>
      </c>
      <c r="C542">
        <v>-0.28879633545875549</v>
      </c>
      <c r="D542">
        <v>0</v>
      </c>
    </row>
    <row r="543" spans="1:4" x14ac:dyDescent="0.55000000000000004">
      <c r="A543" t="s">
        <v>55</v>
      </c>
      <c r="B543" t="s">
        <v>46</v>
      </c>
      <c r="C543">
        <v>-0.22668212652206421</v>
      </c>
      <c r="D543">
        <v>0</v>
      </c>
    </row>
    <row r="544" spans="1:4" x14ac:dyDescent="0.55000000000000004">
      <c r="A544" t="s">
        <v>58</v>
      </c>
      <c r="B544" t="s">
        <v>53</v>
      </c>
      <c r="C544">
        <v>0.11171722412109375</v>
      </c>
      <c r="D544">
        <v>-7.9365083947777748E-3</v>
      </c>
    </row>
    <row r="545" spans="1:4" x14ac:dyDescent="0.55000000000000004">
      <c r="A545" t="s">
        <v>45</v>
      </c>
      <c r="B545" t="s">
        <v>53</v>
      </c>
      <c r="C545">
        <v>6.0788247734308243E-2</v>
      </c>
      <c r="D545">
        <v>-4.4354837387800217E-2</v>
      </c>
    </row>
    <row r="546" spans="1:4" x14ac:dyDescent="0.55000000000000004">
      <c r="A546" t="s">
        <v>49</v>
      </c>
      <c r="B546" t="s">
        <v>46</v>
      </c>
      <c r="C546">
        <v>-2.6716543361544609E-2</v>
      </c>
      <c r="D546">
        <v>-9.0909093618392944E-2</v>
      </c>
    </row>
    <row r="547" spans="1:4" x14ac:dyDescent="0.55000000000000004">
      <c r="A547" t="s">
        <v>72</v>
      </c>
      <c r="B547" t="s">
        <v>53</v>
      </c>
      <c r="C547">
        <v>0.1817934662103653</v>
      </c>
      <c r="D547">
        <v>0</v>
      </c>
    </row>
    <row r="548" spans="1:4" x14ac:dyDescent="0.55000000000000004">
      <c r="A548" t="s">
        <v>68</v>
      </c>
      <c r="B548" t="s">
        <v>48</v>
      </c>
      <c r="C548">
        <v>1.3096053153276443E-2</v>
      </c>
      <c r="D548">
        <v>-3.7037037312984467E-2</v>
      </c>
    </row>
    <row r="549" spans="1:4" x14ac:dyDescent="0.55000000000000004">
      <c r="A549" t="s">
        <v>65</v>
      </c>
      <c r="B549" t="s">
        <v>51</v>
      </c>
      <c r="C549">
        <v>6.9225907325744629E-2</v>
      </c>
      <c r="D549">
        <v>-2.1844660863280296E-2</v>
      </c>
    </row>
    <row r="550" spans="1:4" x14ac:dyDescent="0.55000000000000004">
      <c r="A550" t="s">
        <v>79</v>
      </c>
      <c r="B550" t="s">
        <v>53</v>
      </c>
      <c r="C550">
        <v>9.9842743948101997E-3</v>
      </c>
      <c r="D550">
        <v>-9.0909093618392944E-2</v>
      </c>
    </row>
    <row r="551" spans="1:4" x14ac:dyDescent="0.55000000000000004">
      <c r="A551" t="s">
        <v>64</v>
      </c>
      <c r="B551" t="s">
        <v>53</v>
      </c>
      <c r="C551">
        <v>4.8464331775903702E-2</v>
      </c>
      <c r="D551">
        <v>-5.2845530211925507E-2</v>
      </c>
    </row>
    <row r="552" spans="1:4" x14ac:dyDescent="0.55000000000000004">
      <c r="A552" t="s">
        <v>73</v>
      </c>
      <c r="B552" t="s">
        <v>51</v>
      </c>
      <c r="C552">
        <v>0.24111016094684601</v>
      </c>
      <c r="D552">
        <v>7.4074074625968933E-2</v>
      </c>
    </row>
    <row r="553" spans="1:4" x14ac:dyDescent="0.55000000000000004">
      <c r="A553" t="s">
        <v>54</v>
      </c>
      <c r="B553" t="s">
        <v>53</v>
      </c>
      <c r="C553">
        <v>3.9790172129869461E-2</v>
      </c>
      <c r="D553">
        <v>-6.0606062412261963E-2</v>
      </c>
    </row>
    <row r="554" spans="1:4" x14ac:dyDescent="0.55000000000000004">
      <c r="A554" t="s">
        <v>56</v>
      </c>
      <c r="B554" t="s">
        <v>53</v>
      </c>
      <c r="C554">
        <v>4.5275252312421799E-2</v>
      </c>
      <c r="D554">
        <v>-5.2631579339504242E-2</v>
      </c>
    </row>
    <row r="555" spans="1:4" x14ac:dyDescent="0.55000000000000004">
      <c r="A555" t="s">
        <v>69</v>
      </c>
      <c r="B555" t="s">
        <v>53</v>
      </c>
      <c r="C555">
        <v>0.16529636085033417</v>
      </c>
      <c r="D555">
        <v>-2.380952425301075E-2</v>
      </c>
    </row>
    <row r="556" spans="1:4" x14ac:dyDescent="0.55000000000000004">
      <c r="A556" t="s">
        <v>61</v>
      </c>
      <c r="B556" t="s">
        <v>46</v>
      </c>
      <c r="C556">
        <v>0.1552191823720932</v>
      </c>
      <c r="D556">
        <v>0</v>
      </c>
    </row>
    <row r="557" spans="1:4" x14ac:dyDescent="0.55000000000000004">
      <c r="A557" t="s">
        <v>74</v>
      </c>
      <c r="B557" t="s">
        <v>51</v>
      </c>
      <c r="C557">
        <v>0.10602667927742004</v>
      </c>
      <c r="D557">
        <v>-3.0232558026909828E-2</v>
      </c>
    </row>
    <row r="558" spans="1:4" x14ac:dyDescent="0.55000000000000004">
      <c r="A558" t="s">
        <v>49</v>
      </c>
      <c r="B558" t="s">
        <v>46</v>
      </c>
      <c r="C558">
        <v>9.5299907028675079E-2</v>
      </c>
      <c r="D558">
        <v>0</v>
      </c>
    </row>
    <row r="559" spans="1:4" x14ac:dyDescent="0.55000000000000004">
      <c r="A559" t="s">
        <v>81</v>
      </c>
      <c r="B559" t="s">
        <v>51</v>
      </c>
      <c r="C559">
        <v>9.1667696833610535E-2</v>
      </c>
      <c r="D559">
        <v>-4.8701297491788864E-2</v>
      </c>
    </row>
    <row r="560" spans="1:4" x14ac:dyDescent="0.55000000000000004">
      <c r="A560" t="s">
        <v>64</v>
      </c>
      <c r="B560" t="s">
        <v>46</v>
      </c>
      <c r="C560">
        <v>0.15619851648807526</v>
      </c>
      <c r="D560">
        <v>0</v>
      </c>
    </row>
    <row r="561" spans="1:4" x14ac:dyDescent="0.55000000000000004">
      <c r="A561" t="s">
        <v>80</v>
      </c>
      <c r="B561" t="s">
        <v>59</v>
      </c>
      <c r="C561">
        <v>0.1393168568611145</v>
      </c>
      <c r="D561">
        <v>0</v>
      </c>
    </row>
    <row r="562" spans="1:4" x14ac:dyDescent="0.55000000000000004">
      <c r="A562" t="s">
        <v>62</v>
      </c>
      <c r="B562" t="s">
        <v>53</v>
      </c>
      <c r="C562">
        <v>5.4337941110134125E-2</v>
      </c>
      <c r="D562">
        <v>-5.6338027119636536E-2</v>
      </c>
    </row>
    <row r="563" spans="1:4" x14ac:dyDescent="0.55000000000000004">
      <c r="A563" t="s">
        <v>79</v>
      </c>
      <c r="B563" t="s">
        <v>53</v>
      </c>
      <c r="C563">
        <v>6.7143410444259644E-2</v>
      </c>
      <c r="D563">
        <v>-4.3076921254396439E-2</v>
      </c>
    </row>
    <row r="564" spans="1:4" x14ac:dyDescent="0.55000000000000004">
      <c r="A564" t="s">
        <v>50</v>
      </c>
      <c r="B564" t="s">
        <v>53</v>
      </c>
      <c r="C564">
        <v>1.8605086952447891E-2</v>
      </c>
      <c r="D564">
        <v>-0.10000000149011612</v>
      </c>
    </row>
    <row r="565" spans="1:4" x14ac:dyDescent="0.55000000000000004">
      <c r="A565" t="s">
        <v>73</v>
      </c>
      <c r="B565" t="s">
        <v>46</v>
      </c>
      <c r="C565">
        <v>-0.20940215885639191</v>
      </c>
      <c r="D565">
        <v>-0.20000000298023224</v>
      </c>
    </row>
    <row r="566" spans="1:4" x14ac:dyDescent="0.55000000000000004">
      <c r="A566" t="s">
        <v>76</v>
      </c>
      <c r="B566" t="s">
        <v>46</v>
      </c>
      <c r="C566">
        <v>-0.73352110385894775</v>
      </c>
      <c r="D566">
        <v>-0.5</v>
      </c>
    </row>
    <row r="567" spans="1:4" x14ac:dyDescent="0.55000000000000004">
      <c r="A567" t="s">
        <v>50</v>
      </c>
      <c r="B567" t="s">
        <v>48</v>
      </c>
      <c r="C567">
        <v>0.10607852041721344</v>
      </c>
      <c r="D567">
        <v>0</v>
      </c>
    </row>
    <row r="568" spans="1:4" x14ac:dyDescent="0.55000000000000004">
      <c r="A568" t="s">
        <v>58</v>
      </c>
      <c r="B568" t="s">
        <v>46</v>
      </c>
      <c r="C568">
        <v>0.25797009468078613</v>
      </c>
      <c r="D568">
        <v>0.10000000149011612</v>
      </c>
    </row>
    <row r="569" spans="1:4" x14ac:dyDescent="0.55000000000000004">
      <c r="A569" t="s">
        <v>75</v>
      </c>
      <c r="B569" t="s">
        <v>53</v>
      </c>
      <c r="C569">
        <v>7.4868820607662201E-2</v>
      </c>
      <c r="D569">
        <v>-1.4336917549371719E-2</v>
      </c>
    </row>
    <row r="570" spans="1:4" x14ac:dyDescent="0.55000000000000004">
      <c r="A570" t="s">
        <v>64</v>
      </c>
      <c r="B570" t="s">
        <v>53</v>
      </c>
      <c r="C570">
        <v>3.9412721991539001E-2</v>
      </c>
      <c r="D570">
        <v>-3.9473682641983032E-2</v>
      </c>
    </row>
    <row r="571" spans="1:4" x14ac:dyDescent="0.55000000000000004">
      <c r="A571" t="s">
        <v>73</v>
      </c>
      <c r="B571" t="s">
        <v>46</v>
      </c>
      <c r="C571">
        <v>-6.7318539367988706E-4</v>
      </c>
      <c r="D571">
        <v>-0.10000000149011612</v>
      </c>
    </row>
    <row r="572" spans="1:4" x14ac:dyDescent="0.55000000000000004">
      <c r="A572" t="s">
        <v>81</v>
      </c>
      <c r="B572" t="s">
        <v>46</v>
      </c>
      <c r="C572">
        <v>-1.1148264408111572</v>
      </c>
      <c r="D572">
        <v>-1</v>
      </c>
    </row>
    <row r="573" spans="1:4" x14ac:dyDescent="0.55000000000000004">
      <c r="A573" t="s">
        <v>80</v>
      </c>
      <c r="B573" t="s">
        <v>48</v>
      </c>
      <c r="C573">
        <v>9.1375410556793213E-2</v>
      </c>
      <c r="D573">
        <v>-1.6286645084619522E-2</v>
      </c>
    </row>
    <row r="574" spans="1:4" x14ac:dyDescent="0.55000000000000004">
      <c r="A574" t="s">
        <v>47</v>
      </c>
      <c r="B574" t="s">
        <v>46</v>
      </c>
      <c r="C574">
        <v>2.7762275189161301E-2</v>
      </c>
      <c r="D574">
        <v>-0.1666666716337204</v>
      </c>
    </row>
    <row r="575" spans="1:4" x14ac:dyDescent="0.55000000000000004">
      <c r="A575" t="s">
        <v>60</v>
      </c>
      <c r="B575" t="s">
        <v>51</v>
      </c>
      <c r="C575">
        <v>0.1301523745059967</v>
      </c>
      <c r="D575">
        <v>-6.8493150174617767E-3</v>
      </c>
    </row>
    <row r="576" spans="1:4" x14ac:dyDescent="0.55000000000000004">
      <c r="A576" t="s">
        <v>67</v>
      </c>
      <c r="B576" t="s">
        <v>53</v>
      </c>
      <c r="C576">
        <v>2.8903063386678696E-2</v>
      </c>
      <c r="D576">
        <v>-7.352941483259201E-2</v>
      </c>
    </row>
    <row r="577" spans="1:4" x14ac:dyDescent="0.55000000000000004">
      <c r="A577" t="s">
        <v>69</v>
      </c>
      <c r="B577" t="s">
        <v>46</v>
      </c>
      <c r="C577">
        <v>-0.19878804683685303</v>
      </c>
      <c r="D577">
        <v>-0.1428571492433548</v>
      </c>
    </row>
    <row r="578" spans="1:4" x14ac:dyDescent="0.55000000000000004">
      <c r="A578" t="s">
        <v>78</v>
      </c>
      <c r="B578" t="s">
        <v>51</v>
      </c>
      <c r="C578">
        <v>2.8886185027658939E-3</v>
      </c>
      <c r="D578">
        <v>-0.1111111119389534</v>
      </c>
    </row>
    <row r="579" spans="1:4" x14ac:dyDescent="0.55000000000000004">
      <c r="A579" t="s">
        <v>67</v>
      </c>
      <c r="B579" t="s">
        <v>48</v>
      </c>
      <c r="C579">
        <v>0.49454808235168457</v>
      </c>
      <c r="D579">
        <v>0</v>
      </c>
    </row>
    <row r="580" spans="1:4" x14ac:dyDescent="0.55000000000000004">
      <c r="A580" t="s">
        <v>66</v>
      </c>
      <c r="B580" t="s">
        <v>53</v>
      </c>
      <c r="C580">
        <v>9.7334466874599457E-2</v>
      </c>
      <c r="D580">
        <v>-1.0526316240429878E-2</v>
      </c>
    </row>
    <row r="581" spans="1:4" x14ac:dyDescent="0.55000000000000004">
      <c r="A581" t="s">
        <v>67</v>
      </c>
      <c r="B581" t="s">
        <v>51</v>
      </c>
      <c r="C581">
        <v>-8.6887970566749573E-2</v>
      </c>
      <c r="D581">
        <v>-0.125</v>
      </c>
    </row>
    <row r="582" spans="1:4" x14ac:dyDescent="0.55000000000000004">
      <c r="A582" t="s">
        <v>80</v>
      </c>
      <c r="B582" t="s">
        <v>46</v>
      </c>
      <c r="C582">
        <v>0.15404340624809265</v>
      </c>
      <c r="D582">
        <v>0.125</v>
      </c>
    </row>
    <row r="583" spans="1:4" x14ac:dyDescent="0.55000000000000004">
      <c r="A583" t="s">
        <v>62</v>
      </c>
      <c r="B583" t="s">
        <v>53</v>
      </c>
      <c r="C583">
        <v>-4.1220314800739288E-2</v>
      </c>
      <c r="D583">
        <v>-0.17499999701976776</v>
      </c>
    </row>
    <row r="584" spans="1:4" x14ac:dyDescent="0.55000000000000004">
      <c r="A584" t="s">
        <v>63</v>
      </c>
      <c r="B584" t="s">
        <v>48</v>
      </c>
      <c r="C584">
        <v>-5.6610163301229477E-2</v>
      </c>
      <c r="D584">
        <v>-0.1666666716337204</v>
      </c>
    </row>
    <row r="585" spans="1:4" x14ac:dyDescent="0.55000000000000004">
      <c r="A585" t="s">
        <v>55</v>
      </c>
      <c r="B585" t="s">
        <v>53</v>
      </c>
      <c r="C585">
        <v>0.10716956853866577</v>
      </c>
      <c r="D585">
        <v>-2.9787234961986542E-2</v>
      </c>
    </row>
    <row r="586" spans="1:4" x14ac:dyDescent="0.55000000000000004">
      <c r="A586" t="s">
        <v>68</v>
      </c>
      <c r="B586" t="s">
        <v>46</v>
      </c>
      <c r="C586">
        <v>3.6497801542282104E-2</v>
      </c>
      <c r="D586">
        <v>-3.125E-2</v>
      </c>
    </row>
    <row r="587" spans="1:4" x14ac:dyDescent="0.55000000000000004">
      <c r="A587" t="s">
        <v>76</v>
      </c>
      <c r="B587" t="s">
        <v>59</v>
      </c>
      <c r="C587">
        <v>-2.2193198092281818E-3</v>
      </c>
      <c r="D587">
        <v>0</v>
      </c>
    </row>
    <row r="588" spans="1:4" x14ac:dyDescent="0.55000000000000004">
      <c r="A588" t="s">
        <v>81</v>
      </c>
      <c r="B588" t="s">
        <v>46</v>
      </c>
      <c r="C588">
        <v>-0.45317158102989197</v>
      </c>
      <c r="D588">
        <v>-0.5</v>
      </c>
    </row>
    <row r="589" spans="1:4" x14ac:dyDescent="0.55000000000000004">
      <c r="A589" t="s">
        <v>60</v>
      </c>
      <c r="B589" t="s">
        <v>46</v>
      </c>
      <c r="C589">
        <v>-0.24717368185520172</v>
      </c>
      <c r="D589">
        <v>-0.5</v>
      </c>
    </row>
    <row r="590" spans="1:4" x14ac:dyDescent="0.55000000000000004">
      <c r="A590" t="s">
        <v>69</v>
      </c>
      <c r="B590" t="s">
        <v>51</v>
      </c>
      <c r="C590">
        <v>-3.3075004816055298E-2</v>
      </c>
      <c r="D590">
        <v>-8.59375E-2</v>
      </c>
    </row>
    <row r="591" spans="1:4" x14ac:dyDescent="0.55000000000000004">
      <c r="A591" t="s">
        <v>73</v>
      </c>
      <c r="B591" t="s">
        <v>48</v>
      </c>
      <c r="C591">
        <v>9.9875427782535553E-2</v>
      </c>
      <c r="D591">
        <v>-8.0645158886909485E-3</v>
      </c>
    </row>
    <row r="592" spans="1:4" x14ac:dyDescent="0.55000000000000004">
      <c r="A592" t="s">
        <v>78</v>
      </c>
      <c r="B592" t="s">
        <v>51</v>
      </c>
      <c r="C592">
        <v>0.11292416602373123</v>
      </c>
      <c r="D592">
        <v>-2.6490066200494766E-2</v>
      </c>
    </row>
    <row r="593" spans="1:4" x14ac:dyDescent="0.55000000000000004">
      <c r="A593" t="s">
        <v>58</v>
      </c>
      <c r="B593" t="s">
        <v>51</v>
      </c>
      <c r="C593">
        <v>0.36161413788795471</v>
      </c>
      <c r="D593">
        <v>0</v>
      </c>
    </row>
    <row r="594" spans="1:4" x14ac:dyDescent="0.55000000000000004">
      <c r="A594" t="s">
        <v>73</v>
      </c>
      <c r="B594" t="s">
        <v>53</v>
      </c>
      <c r="C594">
        <v>5.731670930981636E-2</v>
      </c>
      <c r="D594">
        <v>-5.0691243261098862E-2</v>
      </c>
    </row>
    <row r="595" spans="1:4" x14ac:dyDescent="0.55000000000000004">
      <c r="A595" t="s">
        <v>52</v>
      </c>
      <c r="B595" t="s">
        <v>46</v>
      </c>
      <c r="C595">
        <v>0.17546474933624268</v>
      </c>
      <c r="D595">
        <v>8.3333335816860199E-2</v>
      </c>
    </row>
    <row r="596" spans="1:4" x14ac:dyDescent="0.55000000000000004">
      <c r="A596" t="s">
        <v>75</v>
      </c>
      <c r="B596" t="s">
        <v>48</v>
      </c>
      <c r="C596">
        <v>8.6626730859279633E-2</v>
      </c>
      <c r="D596">
        <v>0</v>
      </c>
    </row>
    <row r="597" spans="1:4" x14ac:dyDescent="0.55000000000000004">
      <c r="A597" t="s">
        <v>62</v>
      </c>
      <c r="B597" t="s">
        <v>53</v>
      </c>
      <c r="C597">
        <v>0.10620721429586411</v>
      </c>
      <c r="D597">
        <v>-1.7199017107486725E-2</v>
      </c>
    </row>
    <row r="598" spans="1:4" x14ac:dyDescent="0.55000000000000004">
      <c r="A598" t="s">
        <v>66</v>
      </c>
      <c r="B598" t="s">
        <v>59</v>
      </c>
      <c r="C598">
        <v>-0.14913983643054962</v>
      </c>
      <c r="D598">
        <v>0</v>
      </c>
    </row>
    <row r="599" spans="1:4" x14ac:dyDescent="0.55000000000000004">
      <c r="A599" t="s">
        <v>77</v>
      </c>
      <c r="B599" t="s">
        <v>53</v>
      </c>
      <c r="C599">
        <v>6.875937432050705E-2</v>
      </c>
      <c r="D599">
        <v>-2.846975065767765E-2</v>
      </c>
    </row>
    <row r="600" spans="1:4" x14ac:dyDescent="0.55000000000000004">
      <c r="A600" t="s">
        <v>63</v>
      </c>
      <c r="B600" t="s">
        <v>48</v>
      </c>
      <c r="C600">
        <v>-3.9562402525916696E-4</v>
      </c>
      <c r="D600">
        <v>-0.11864406615495682</v>
      </c>
    </row>
    <row r="601" spans="1:4" x14ac:dyDescent="0.55000000000000004">
      <c r="A601" t="s">
        <v>55</v>
      </c>
      <c r="B601" t="s">
        <v>46</v>
      </c>
      <c r="C601">
        <v>-0.16308313608169556</v>
      </c>
      <c r="D601">
        <v>-0.21052631735801697</v>
      </c>
    </row>
    <row r="602" spans="1:4" x14ac:dyDescent="0.55000000000000004">
      <c r="A602" t="s">
        <v>57</v>
      </c>
      <c r="B602" t="s">
        <v>46</v>
      </c>
      <c r="C602">
        <v>8.8497236371040344E-2</v>
      </c>
      <c r="D602">
        <v>0</v>
      </c>
    </row>
    <row r="603" spans="1:4" x14ac:dyDescent="0.55000000000000004">
      <c r="A603" t="s">
        <v>69</v>
      </c>
      <c r="B603" t="s">
        <v>53</v>
      </c>
      <c r="C603">
        <v>7.2948746383190155E-2</v>
      </c>
      <c r="D603">
        <v>-4.060913622379303E-2</v>
      </c>
    </row>
    <row r="604" spans="1:4" x14ac:dyDescent="0.55000000000000004">
      <c r="A604" t="s">
        <v>66</v>
      </c>
      <c r="B604" t="s">
        <v>53</v>
      </c>
      <c r="C604">
        <v>4.9876388162374496E-2</v>
      </c>
      <c r="D604">
        <v>-2.812499925494194E-2</v>
      </c>
    </row>
    <row r="605" spans="1:4" x14ac:dyDescent="0.55000000000000004">
      <c r="A605" t="s">
        <v>70</v>
      </c>
      <c r="B605" t="s">
        <v>53</v>
      </c>
      <c r="C605">
        <v>6.0877740383148193E-2</v>
      </c>
      <c r="D605">
        <v>0</v>
      </c>
    </row>
    <row r="606" spans="1:4" x14ac:dyDescent="0.55000000000000004">
      <c r="A606" t="s">
        <v>58</v>
      </c>
      <c r="B606" t="s">
        <v>53</v>
      </c>
      <c r="C606">
        <v>7.7416136860847473E-2</v>
      </c>
      <c r="D606">
        <v>-4.7297298908233643E-2</v>
      </c>
    </row>
    <row r="607" spans="1:4" x14ac:dyDescent="0.55000000000000004">
      <c r="A607" t="s">
        <v>70</v>
      </c>
      <c r="B607" t="s">
        <v>53</v>
      </c>
      <c r="C607">
        <v>2.6829458773136139E-2</v>
      </c>
      <c r="D607">
        <v>-7.3232322931289673E-2</v>
      </c>
    </row>
    <row r="608" spans="1:4" x14ac:dyDescent="0.55000000000000004">
      <c r="A608" t="s">
        <v>58</v>
      </c>
      <c r="B608" t="s">
        <v>48</v>
      </c>
      <c r="C608">
        <v>2.9701134189963341E-2</v>
      </c>
      <c r="D608">
        <v>-6.0846559703350067E-2</v>
      </c>
    </row>
    <row r="609" spans="1:4" x14ac:dyDescent="0.55000000000000004">
      <c r="A609" t="s">
        <v>78</v>
      </c>
      <c r="B609" t="s">
        <v>51</v>
      </c>
      <c r="C609">
        <v>3.3402927219867706E-2</v>
      </c>
      <c r="D609">
        <v>-6.0975611209869385E-2</v>
      </c>
    </row>
    <row r="610" spans="1:4" x14ac:dyDescent="0.55000000000000004">
      <c r="A610" t="s">
        <v>77</v>
      </c>
      <c r="B610" t="s">
        <v>46</v>
      </c>
      <c r="C610">
        <v>0.101988784968853</v>
      </c>
      <c r="D610">
        <v>0</v>
      </c>
    </row>
    <row r="611" spans="1:4" x14ac:dyDescent="0.55000000000000004">
      <c r="A611" t="s">
        <v>56</v>
      </c>
      <c r="B611" t="s">
        <v>46</v>
      </c>
      <c r="C611">
        <v>6.715693324804306E-2</v>
      </c>
      <c r="D611">
        <v>0</v>
      </c>
    </row>
    <row r="612" spans="1:4" x14ac:dyDescent="0.55000000000000004">
      <c r="A612" t="s">
        <v>66</v>
      </c>
      <c r="B612" t="s">
        <v>53</v>
      </c>
      <c r="C612">
        <v>-6.6695444285869598E-2</v>
      </c>
      <c r="D612">
        <v>0</v>
      </c>
    </row>
    <row r="613" spans="1:4" x14ac:dyDescent="0.55000000000000004">
      <c r="A613" t="s">
        <v>75</v>
      </c>
      <c r="B613" t="s">
        <v>51</v>
      </c>
      <c r="C613">
        <v>8.6512230336666107E-2</v>
      </c>
      <c r="D613">
        <v>-2.8735632076859474E-3</v>
      </c>
    </row>
    <row r="614" spans="1:4" x14ac:dyDescent="0.55000000000000004">
      <c r="A614" t="s">
        <v>76</v>
      </c>
      <c r="B614" t="s">
        <v>48</v>
      </c>
      <c r="C614">
        <v>-3.1445339322090149E-2</v>
      </c>
      <c r="D614">
        <v>-8.3769634366035461E-2</v>
      </c>
    </row>
    <row r="615" spans="1:4" x14ac:dyDescent="0.55000000000000004">
      <c r="A615" t="s">
        <v>62</v>
      </c>
      <c r="B615" t="s">
        <v>51</v>
      </c>
      <c r="C615">
        <v>5.5331975221633911E-2</v>
      </c>
      <c r="D615">
        <v>-5.2499998360872269E-2</v>
      </c>
    </row>
    <row r="616" spans="1:4" x14ac:dyDescent="0.55000000000000004">
      <c r="A616" t="s">
        <v>62</v>
      </c>
      <c r="B616" t="s">
        <v>48</v>
      </c>
      <c r="C616">
        <v>-0.34279739856719971</v>
      </c>
      <c r="D616">
        <v>-0.3333333432674408</v>
      </c>
    </row>
    <row r="617" spans="1:4" x14ac:dyDescent="0.55000000000000004">
      <c r="A617" t="s">
        <v>58</v>
      </c>
      <c r="B617" t="s">
        <v>53</v>
      </c>
      <c r="C617">
        <v>6.1927251517772675E-2</v>
      </c>
      <c r="D617">
        <v>-4.1343670338392258E-2</v>
      </c>
    </row>
    <row r="618" spans="1:4" x14ac:dyDescent="0.55000000000000004">
      <c r="A618" t="s">
        <v>66</v>
      </c>
      <c r="B618" t="s">
        <v>46</v>
      </c>
      <c r="C618">
        <v>0.34285679459571838</v>
      </c>
      <c r="D618">
        <v>0</v>
      </c>
    </row>
    <row r="619" spans="1:4" x14ac:dyDescent="0.55000000000000004">
      <c r="A619" t="s">
        <v>60</v>
      </c>
      <c r="B619" t="s">
        <v>51</v>
      </c>
      <c r="C619">
        <v>0.16814287006855011</v>
      </c>
      <c r="D619">
        <v>-2.2727273404598236E-2</v>
      </c>
    </row>
    <row r="620" spans="1:4" x14ac:dyDescent="0.55000000000000004">
      <c r="A620" t="s">
        <v>65</v>
      </c>
      <c r="B620" t="s">
        <v>53</v>
      </c>
      <c r="C620">
        <v>0.14275899529457092</v>
      </c>
      <c r="D620">
        <v>0.1111111119389534</v>
      </c>
    </row>
    <row r="621" spans="1:4" x14ac:dyDescent="0.55000000000000004">
      <c r="A621" t="s">
        <v>47</v>
      </c>
      <c r="B621" t="s">
        <v>48</v>
      </c>
      <c r="C621">
        <v>-2.8452756814658642E-3</v>
      </c>
      <c r="D621">
        <v>-0.10000000149011612</v>
      </c>
    </row>
    <row r="622" spans="1:4" x14ac:dyDescent="0.55000000000000004">
      <c r="A622" t="s">
        <v>65</v>
      </c>
      <c r="B622" t="s">
        <v>53</v>
      </c>
      <c r="C622">
        <v>-2.9885317198932171E-3</v>
      </c>
      <c r="D622">
        <v>-6.0897435992956161E-2</v>
      </c>
    </row>
    <row r="623" spans="1:4" x14ac:dyDescent="0.55000000000000004">
      <c r="A623" t="s">
        <v>78</v>
      </c>
      <c r="B623" t="s">
        <v>48</v>
      </c>
      <c r="C623">
        <v>-7.8662045300006866E-2</v>
      </c>
      <c r="D623">
        <v>-0.125</v>
      </c>
    </row>
    <row r="624" spans="1:4" x14ac:dyDescent="0.55000000000000004">
      <c r="A624" t="s">
        <v>80</v>
      </c>
      <c r="B624" t="s">
        <v>46</v>
      </c>
      <c r="C624">
        <v>-2.1970724686980247E-2</v>
      </c>
      <c r="D624">
        <v>0</v>
      </c>
    </row>
    <row r="625" spans="1:4" x14ac:dyDescent="0.55000000000000004">
      <c r="A625" t="s">
        <v>62</v>
      </c>
      <c r="B625" t="s">
        <v>53</v>
      </c>
      <c r="C625">
        <v>0.12740135192871094</v>
      </c>
      <c r="D625">
        <v>-1.6049383208155632E-2</v>
      </c>
    </row>
    <row r="626" spans="1:4" x14ac:dyDescent="0.55000000000000004">
      <c r="A626" t="s">
        <v>71</v>
      </c>
      <c r="B626" t="s">
        <v>51</v>
      </c>
      <c r="C626">
        <v>4.6060025691986084E-2</v>
      </c>
      <c r="D626">
        <v>-9.0425528585910797E-2</v>
      </c>
    </row>
    <row r="627" spans="1:4" x14ac:dyDescent="0.55000000000000004">
      <c r="A627" t="s">
        <v>71</v>
      </c>
      <c r="B627" t="s">
        <v>46</v>
      </c>
      <c r="C627">
        <v>-9.2546120285987854E-2</v>
      </c>
      <c r="D627">
        <v>-0.20000000298023224</v>
      </c>
    </row>
    <row r="628" spans="1:4" x14ac:dyDescent="0.55000000000000004">
      <c r="A628" t="s">
        <v>52</v>
      </c>
      <c r="B628" t="s">
        <v>59</v>
      </c>
      <c r="C628">
        <v>2.1323254331946373E-2</v>
      </c>
      <c r="D628">
        <v>0</v>
      </c>
    </row>
    <row r="629" spans="1:4" x14ac:dyDescent="0.55000000000000004">
      <c r="A629" t="s">
        <v>54</v>
      </c>
      <c r="B629" t="s">
        <v>51</v>
      </c>
      <c r="C629">
        <v>4.6032950282096863E-2</v>
      </c>
      <c r="D629">
        <v>-1.8518518656492233E-2</v>
      </c>
    </row>
    <row r="630" spans="1:4" x14ac:dyDescent="0.55000000000000004">
      <c r="A630" t="s">
        <v>73</v>
      </c>
      <c r="B630" t="s">
        <v>53</v>
      </c>
      <c r="C630">
        <v>8.1820286810398102E-2</v>
      </c>
      <c r="D630">
        <v>-1.9230769947171211E-2</v>
      </c>
    </row>
    <row r="631" spans="1:4" x14ac:dyDescent="0.55000000000000004">
      <c r="A631" t="s">
        <v>52</v>
      </c>
      <c r="B631" t="s">
        <v>46</v>
      </c>
      <c r="C631">
        <v>-0.19252486526966095</v>
      </c>
      <c r="D631">
        <v>-0.2142857164144516</v>
      </c>
    </row>
    <row r="632" spans="1:4" x14ac:dyDescent="0.55000000000000004">
      <c r="A632" t="s">
        <v>67</v>
      </c>
      <c r="B632" t="s">
        <v>46</v>
      </c>
      <c r="C632">
        <v>-0.37532374262809753</v>
      </c>
      <c r="D632">
        <v>-0.25</v>
      </c>
    </row>
    <row r="633" spans="1:4" x14ac:dyDescent="0.55000000000000004">
      <c r="A633" t="s">
        <v>81</v>
      </c>
      <c r="B633" t="s">
        <v>48</v>
      </c>
      <c r="C633">
        <v>7.3626525700092316E-2</v>
      </c>
      <c r="D633">
        <v>0</v>
      </c>
    </row>
    <row r="634" spans="1:4" x14ac:dyDescent="0.55000000000000004">
      <c r="A634" t="s">
        <v>61</v>
      </c>
      <c r="B634" t="s">
        <v>51</v>
      </c>
      <c r="C634">
        <v>6.5784476697444916E-2</v>
      </c>
      <c r="D634">
        <v>-3.5714287310838699E-2</v>
      </c>
    </row>
    <row r="635" spans="1:4" x14ac:dyDescent="0.55000000000000004">
      <c r="A635" t="s">
        <v>56</v>
      </c>
      <c r="B635" t="s">
        <v>51</v>
      </c>
      <c r="C635">
        <v>-0.27721256017684937</v>
      </c>
      <c r="D635">
        <v>-0.27777779102325439</v>
      </c>
    </row>
    <row r="636" spans="1:4" x14ac:dyDescent="0.55000000000000004">
      <c r="A636" t="s">
        <v>50</v>
      </c>
      <c r="B636" t="s">
        <v>46</v>
      </c>
      <c r="C636">
        <v>-0.34291011095046997</v>
      </c>
      <c r="D636">
        <v>-0.3333333432674408</v>
      </c>
    </row>
    <row r="637" spans="1:4" x14ac:dyDescent="0.55000000000000004">
      <c r="A637" t="s">
        <v>60</v>
      </c>
      <c r="B637" t="s">
        <v>46</v>
      </c>
      <c r="C637">
        <v>0.43848598003387451</v>
      </c>
      <c r="D637">
        <v>0</v>
      </c>
    </row>
    <row r="638" spans="1:4" x14ac:dyDescent="0.55000000000000004">
      <c r="A638" t="s">
        <v>68</v>
      </c>
      <c r="B638" t="s">
        <v>46</v>
      </c>
      <c r="C638">
        <v>1.1549157090485096E-2</v>
      </c>
      <c r="D638">
        <v>-9.5238097012042999E-2</v>
      </c>
    </row>
    <row r="639" spans="1:4" x14ac:dyDescent="0.55000000000000004">
      <c r="A639" t="s">
        <v>55</v>
      </c>
      <c r="B639" t="s">
        <v>53</v>
      </c>
      <c r="C639">
        <v>0.18899509310722351</v>
      </c>
      <c r="D639">
        <v>3.3333335071802139E-2</v>
      </c>
    </row>
    <row r="640" spans="1:4" x14ac:dyDescent="0.55000000000000004">
      <c r="A640" t="s">
        <v>70</v>
      </c>
      <c r="B640" t="s">
        <v>48</v>
      </c>
      <c r="C640">
        <v>3.1727548688650131E-2</v>
      </c>
      <c r="D640">
        <v>-4.237288236618042E-2</v>
      </c>
    </row>
    <row r="641" spans="1:4" x14ac:dyDescent="0.55000000000000004">
      <c r="A641" t="s">
        <v>61</v>
      </c>
      <c r="B641" t="s">
        <v>53</v>
      </c>
      <c r="C641">
        <v>2.7109554037451744E-2</v>
      </c>
      <c r="D641">
        <v>-2.6315789669752121E-2</v>
      </c>
    </row>
    <row r="642" spans="1:4" x14ac:dyDescent="0.55000000000000004">
      <c r="A642" t="s">
        <v>61</v>
      </c>
      <c r="B642" t="s">
        <v>51</v>
      </c>
      <c r="C642">
        <v>7.9297751188278198E-2</v>
      </c>
      <c r="D642">
        <v>-3.494623675942421E-2</v>
      </c>
    </row>
    <row r="643" spans="1:4" x14ac:dyDescent="0.55000000000000004">
      <c r="A643" t="s">
        <v>54</v>
      </c>
      <c r="B643" t="s">
        <v>51</v>
      </c>
      <c r="C643">
        <v>0.12338695675134659</v>
      </c>
      <c r="D643">
        <v>0</v>
      </c>
    </row>
    <row r="644" spans="1:4" x14ac:dyDescent="0.55000000000000004">
      <c r="A644" t="s">
        <v>64</v>
      </c>
      <c r="B644" t="s">
        <v>46</v>
      </c>
      <c r="C644">
        <v>-3.3348859287798405E-3</v>
      </c>
      <c r="D644">
        <v>-7.6923079788684845E-2</v>
      </c>
    </row>
    <row r="645" spans="1:4" x14ac:dyDescent="0.55000000000000004">
      <c r="A645" t="s">
        <v>66</v>
      </c>
      <c r="B645" t="s">
        <v>51</v>
      </c>
      <c r="C645">
        <v>6.3647672533988953E-2</v>
      </c>
      <c r="D645">
        <v>-4.5774646103382111E-2</v>
      </c>
    </row>
    <row r="646" spans="1:4" x14ac:dyDescent="0.55000000000000004">
      <c r="A646" t="s">
        <v>81</v>
      </c>
      <c r="B646" t="s">
        <v>48</v>
      </c>
      <c r="C646">
        <v>-2.6173558086156845E-2</v>
      </c>
      <c r="D646">
        <v>-0.12121212482452393</v>
      </c>
    </row>
    <row r="647" spans="1:4" x14ac:dyDescent="0.55000000000000004">
      <c r="A647" t="s">
        <v>66</v>
      </c>
      <c r="B647" t="s">
        <v>48</v>
      </c>
      <c r="C647">
        <v>0.26698756217956543</v>
      </c>
      <c r="D647">
        <v>0.20000000298023224</v>
      </c>
    </row>
    <row r="648" spans="1:4" x14ac:dyDescent="0.55000000000000004">
      <c r="A648" t="s">
        <v>47</v>
      </c>
      <c r="B648" t="s">
        <v>53</v>
      </c>
      <c r="C648">
        <v>6.3627481460571289E-2</v>
      </c>
      <c r="D648">
        <v>-4.642857238650322E-2</v>
      </c>
    </row>
    <row r="649" spans="1:4" x14ac:dyDescent="0.55000000000000004">
      <c r="A649" t="s">
        <v>74</v>
      </c>
      <c r="B649" t="s">
        <v>53</v>
      </c>
      <c r="C649">
        <v>5.8735348284244537E-2</v>
      </c>
      <c r="D649">
        <v>-4.3859649449586868E-2</v>
      </c>
    </row>
    <row r="650" spans="1:4" x14ac:dyDescent="0.55000000000000004">
      <c r="A650" t="s">
        <v>50</v>
      </c>
      <c r="B650" t="s">
        <v>46</v>
      </c>
      <c r="C650">
        <v>9.5620498061180115E-2</v>
      </c>
      <c r="D650">
        <v>2.0408162847161293E-2</v>
      </c>
    </row>
    <row r="651" spans="1:4" x14ac:dyDescent="0.55000000000000004">
      <c r="A651" t="s">
        <v>70</v>
      </c>
      <c r="B651" t="s">
        <v>51</v>
      </c>
      <c r="C651">
        <v>8.7330862879753113E-2</v>
      </c>
      <c r="D651">
        <v>0</v>
      </c>
    </row>
    <row r="652" spans="1:4" x14ac:dyDescent="0.55000000000000004">
      <c r="A652" t="s">
        <v>71</v>
      </c>
      <c r="B652" t="s">
        <v>53</v>
      </c>
      <c r="C652">
        <v>2.9151046648621559E-2</v>
      </c>
      <c r="D652">
        <v>-8.6206898093223572E-2</v>
      </c>
    </row>
    <row r="653" spans="1:4" x14ac:dyDescent="0.55000000000000004">
      <c r="A653" t="s">
        <v>62</v>
      </c>
      <c r="B653" t="s">
        <v>48</v>
      </c>
      <c r="C653">
        <v>-0.25549700856208801</v>
      </c>
      <c r="D653">
        <v>-0.5</v>
      </c>
    </row>
    <row r="654" spans="1:4" x14ac:dyDescent="0.55000000000000004">
      <c r="A654" t="s">
        <v>80</v>
      </c>
      <c r="B654" t="s">
        <v>53</v>
      </c>
      <c r="C654">
        <v>8.321882039308548E-2</v>
      </c>
      <c r="D654">
        <v>-2.4475524201989174E-2</v>
      </c>
    </row>
    <row r="655" spans="1:4" x14ac:dyDescent="0.55000000000000004">
      <c r="A655" t="s">
        <v>61</v>
      </c>
      <c r="B655" t="s">
        <v>53</v>
      </c>
      <c r="C655">
        <v>0.10679380595684052</v>
      </c>
      <c r="D655">
        <v>-2.0467836409807205E-2</v>
      </c>
    </row>
    <row r="656" spans="1:4" x14ac:dyDescent="0.55000000000000004">
      <c r="A656" t="s">
        <v>50</v>
      </c>
      <c r="B656" t="s">
        <v>46</v>
      </c>
      <c r="C656">
        <v>-0.12615059316158295</v>
      </c>
      <c r="D656">
        <v>-0.125</v>
      </c>
    </row>
    <row r="657" spans="1:4" x14ac:dyDescent="0.55000000000000004">
      <c r="A657" t="s">
        <v>50</v>
      </c>
      <c r="B657" t="s">
        <v>59</v>
      </c>
      <c r="C657">
        <v>8.1095278263092041E-2</v>
      </c>
      <c r="D657">
        <v>0</v>
      </c>
    </row>
    <row r="658" spans="1:4" x14ac:dyDescent="0.55000000000000004">
      <c r="A658" t="s">
        <v>54</v>
      </c>
      <c r="B658" t="s">
        <v>53</v>
      </c>
      <c r="C658">
        <v>4.927515983581543E-2</v>
      </c>
      <c r="D658">
        <v>-1.3513513840734959E-2</v>
      </c>
    </row>
    <row r="659" spans="1:4" x14ac:dyDescent="0.55000000000000004">
      <c r="A659" t="s">
        <v>69</v>
      </c>
      <c r="B659" t="s">
        <v>48</v>
      </c>
      <c r="C659">
        <v>9.6792250871658325E-2</v>
      </c>
      <c r="D659">
        <v>-2.6315789669752121E-2</v>
      </c>
    </row>
    <row r="660" spans="1:4" x14ac:dyDescent="0.55000000000000004">
      <c r="A660" t="s">
        <v>60</v>
      </c>
      <c r="B660" t="s">
        <v>59</v>
      </c>
      <c r="C660">
        <v>0.24955748021602631</v>
      </c>
      <c r="D660">
        <v>0</v>
      </c>
    </row>
    <row r="661" spans="1:4" x14ac:dyDescent="0.55000000000000004">
      <c r="A661" t="s">
        <v>67</v>
      </c>
      <c r="B661" t="s">
        <v>51</v>
      </c>
      <c r="C661">
        <v>-5.8157097548246384E-2</v>
      </c>
      <c r="D661">
        <v>-0.14705882966518402</v>
      </c>
    </row>
    <row r="662" spans="1:4" x14ac:dyDescent="0.55000000000000004">
      <c r="A662" t="s">
        <v>69</v>
      </c>
      <c r="B662" t="s">
        <v>48</v>
      </c>
      <c r="C662">
        <v>0.13642723858356476</v>
      </c>
      <c r="D662">
        <v>0</v>
      </c>
    </row>
    <row r="663" spans="1:4" x14ac:dyDescent="0.55000000000000004">
      <c r="A663" t="s">
        <v>80</v>
      </c>
      <c r="B663" t="s">
        <v>53</v>
      </c>
      <c r="C663">
        <v>-2.0520245656371117E-2</v>
      </c>
      <c r="D663">
        <v>-7.6923079788684845E-2</v>
      </c>
    </row>
    <row r="664" spans="1:4" x14ac:dyDescent="0.55000000000000004">
      <c r="A664" t="s">
        <v>75</v>
      </c>
      <c r="B664" t="s">
        <v>46</v>
      </c>
      <c r="C664">
        <v>5.0134956836700439E-3</v>
      </c>
      <c r="D664">
        <v>-3.8461539894342422E-2</v>
      </c>
    </row>
    <row r="665" spans="1:4" x14ac:dyDescent="0.55000000000000004">
      <c r="A665" t="s">
        <v>75</v>
      </c>
      <c r="B665" t="s">
        <v>46</v>
      </c>
      <c r="C665">
        <v>0.14585106074810028</v>
      </c>
      <c r="D665">
        <v>5.128205195069313E-2</v>
      </c>
    </row>
    <row r="666" spans="1:4" x14ac:dyDescent="0.55000000000000004">
      <c r="A666" t="s">
        <v>67</v>
      </c>
      <c r="B666" t="s">
        <v>53</v>
      </c>
      <c r="C666">
        <v>9.5609147101640701E-3</v>
      </c>
      <c r="D666">
        <v>-7.5757578015327454E-2</v>
      </c>
    </row>
    <row r="667" spans="1:4" x14ac:dyDescent="0.55000000000000004">
      <c r="A667" t="s">
        <v>58</v>
      </c>
      <c r="B667" t="s">
        <v>46</v>
      </c>
      <c r="C667">
        <v>-0.14720140397548676</v>
      </c>
      <c r="D667">
        <v>-0.21052631735801697</v>
      </c>
    </row>
    <row r="668" spans="1:4" x14ac:dyDescent="0.55000000000000004">
      <c r="A668" t="s">
        <v>47</v>
      </c>
      <c r="B668" t="s">
        <v>51</v>
      </c>
      <c r="C668">
        <v>7.1545429527759552E-2</v>
      </c>
      <c r="D668">
        <v>-5.5194806307554245E-2</v>
      </c>
    </row>
    <row r="669" spans="1:4" x14ac:dyDescent="0.55000000000000004">
      <c r="A669" t="s">
        <v>66</v>
      </c>
      <c r="B669" t="s">
        <v>53</v>
      </c>
      <c r="C669">
        <v>0.27960854768753052</v>
      </c>
      <c r="D669">
        <v>6.25E-2</v>
      </c>
    </row>
    <row r="670" spans="1:4" x14ac:dyDescent="0.55000000000000004">
      <c r="A670" t="s">
        <v>64</v>
      </c>
      <c r="B670" t="s">
        <v>46</v>
      </c>
      <c r="C670">
        <v>1.6505761072039604E-2</v>
      </c>
      <c r="D670">
        <v>-3.8461539894342422E-2</v>
      </c>
    </row>
    <row r="671" spans="1:4" x14ac:dyDescent="0.55000000000000004">
      <c r="A671" t="s">
        <v>81</v>
      </c>
      <c r="B671" t="s">
        <v>53</v>
      </c>
      <c r="C671">
        <v>6.5546974539756775E-2</v>
      </c>
      <c r="D671">
        <v>-3.7037037312984467E-2</v>
      </c>
    </row>
    <row r="672" spans="1:4" x14ac:dyDescent="0.55000000000000004">
      <c r="A672" t="s">
        <v>74</v>
      </c>
      <c r="B672" t="s">
        <v>51</v>
      </c>
      <c r="C672">
        <v>0.10211411863565445</v>
      </c>
      <c r="D672">
        <v>6.25E-2</v>
      </c>
    </row>
    <row r="673" spans="1:4" x14ac:dyDescent="0.55000000000000004">
      <c r="A673" t="s">
        <v>49</v>
      </c>
      <c r="B673" t="s">
        <v>53</v>
      </c>
      <c r="C673">
        <v>-5.3851897828280926E-3</v>
      </c>
      <c r="D673">
        <v>-8.0188676714897156E-2</v>
      </c>
    </row>
    <row r="674" spans="1:4" x14ac:dyDescent="0.55000000000000004">
      <c r="A674" t="s">
        <v>62</v>
      </c>
      <c r="B674" t="s">
        <v>48</v>
      </c>
      <c r="C674">
        <v>9.917759895324707E-2</v>
      </c>
      <c r="D674">
        <v>-8.3333337679505348E-3</v>
      </c>
    </row>
    <row r="675" spans="1:4" x14ac:dyDescent="0.55000000000000004">
      <c r="A675" t="s">
        <v>78</v>
      </c>
      <c r="B675" t="s">
        <v>46</v>
      </c>
      <c r="C675">
        <v>-6.5261296927928925E-2</v>
      </c>
      <c r="D675">
        <v>-0.1666666716337204</v>
      </c>
    </row>
    <row r="676" spans="1:4" x14ac:dyDescent="0.55000000000000004">
      <c r="A676" t="s">
        <v>58</v>
      </c>
      <c r="B676" t="s">
        <v>51</v>
      </c>
      <c r="C676">
        <v>7.4157610535621643E-2</v>
      </c>
      <c r="D676">
        <v>-4.7511313110589981E-2</v>
      </c>
    </row>
    <row r="677" spans="1:4" x14ac:dyDescent="0.55000000000000004">
      <c r="A677" t="s">
        <v>65</v>
      </c>
      <c r="B677" t="s">
        <v>46</v>
      </c>
      <c r="C677">
        <v>-0.10528864711523056</v>
      </c>
      <c r="D677">
        <v>-0.15909090638160706</v>
      </c>
    </row>
    <row r="678" spans="1:4" x14ac:dyDescent="0.55000000000000004">
      <c r="A678" t="s">
        <v>56</v>
      </c>
      <c r="B678" t="s">
        <v>48</v>
      </c>
      <c r="C678">
        <v>4.6466708183288574E-2</v>
      </c>
      <c r="D678">
        <v>-7.4803151190280914E-2</v>
      </c>
    </row>
    <row r="679" spans="1:4" x14ac:dyDescent="0.55000000000000004">
      <c r="A679" t="s">
        <v>49</v>
      </c>
      <c r="B679" t="s">
        <v>53</v>
      </c>
      <c r="C679">
        <v>7.2914823889732361E-2</v>
      </c>
      <c r="D679">
        <v>-3.6496348679065704E-2</v>
      </c>
    </row>
    <row r="680" spans="1:4" x14ac:dyDescent="0.55000000000000004">
      <c r="A680" t="s">
        <v>57</v>
      </c>
      <c r="B680" t="s">
        <v>53</v>
      </c>
      <c r="C680">
        <v>9.5002785325050354E-2</v>
      </c>
      <c r="D680">
        <v>-9.0090092271566391E-3</v>
      </c>
    </row>
    <row r="681" spans="1:4" x14ac:dyDescent="0.55000000000000004">
      <c r="A681" t="s">
        <v>70</v>
      </c>
      <c r="B681" t="s">
        <v>59</v>
      </c>
      <c r="C681">
        <v>0.15533523261547089</v>
      </c>
      <c r="D681">
        <v>0</v>
      </c>
    </row>
    <row r="682" spans="1:4" x14ac:dyDescent="0.55000000000000004">
      <c r="A682" t="s">
        <v>73</v>
      </c>
      <c r="B682" t="s">
        <v>53</v>
      </c>
      <c r="C682">
        <v>0.10587502270936966</v>
      </c>
      <c r="D682">
        <v>-5.0761420279741287E-3</v>
      </c>
    </row>
    <row r="683" spans="1:4" x14ac:dyDescent="0.55000000000000004">
      <c r="A683" t="s">
        <v>60</v>
      </c>
      <c r="B683" t="s">
        <v>82</v>
      </c>
      <c r="C683">
        <v>7.8962825238704681E-2</v>
      </c>
      <c r="D683">
        <v>-1.1111111380159855E-2</v>
      </c>
    </row>
    <row r="684" spans="1:4" x14ac:dyDescent="0.55000000000000004">
      <c r="A684" t="s">
        <v>56</v>
      </c>
      <c r="B684" t="s">
        <v>53</v>
      </c>
      <c r="C684">
        <v>3.9874222129583359E-3</v>
      </c>
      <c r="D684">
        <v>-6.9444447755813599E-2</v>
      </c>
    </row>
    <row r="685" spans="1:4" x14ac:dyDescent="0.55000000000000004">
      <c r="A685" t="s">
        <v>71</v>
      </c>
      <c r="B685" t="s">
        <v>59</v>
      </c>
      <c r="C685">
        <v>-0.15907768905162811</v>
      </c>
      <c r="D685">
        <v>0</v>
      </c>
    </row>
    <row r="686" spans="1:4" x14ac:dyDescent="0.55000000000000004">
      <c r="A686" t="s">
        <v>69</v>
      </c>
      <c r="B686" t="s">
        <v>46</v>
      </c>
      <c r="C686">
        <v>0.1076648086309433</v>
      </c>
      <c r="D686">
        <v>2.380952425301075E-2</v>
      </c>
    </row>
    <row r="687" spans="1:4" x14ac:dyDescent="0.55000000000000004">
      <c r="A687" t="s">
        <v>65</v>
      </c>
      <c r="B687" t="s">
        <v>46</v>
      </c>
      <c r="C687">
        <v>-6.0727652162313461E-3</v>
      </c>
      <c r="D687">
        <v>-6.8181820213794708E-2</v>
      </c>
    </row>
    <row r="688" spans="1:4" x14ac:dyDescent="0.55000000000000004">
      <c r="A688" t="s">
        <v>79</v>
      </c>
      <c r="B688" t="s">
        <v>46</v>
      </c>
      <c r="C688">
        <v>2.0081484690308571E-2</v>
      </c>
      <c r="D688">
        <v>-0.10000000149011612</v>
      </c>
    </row>
    <row r="689" spans="1:4" x14ac:dyDescent="0.55000000000000004">
      <c r="A689" t="s">
        <v>68</v>
      </c>
      <c r="B689" t="s">
        <v>51</v>
      </c>
      <c r="C689">
        <v>6.25314861536026E-2</v>
      </c>
      <c r="D689">
        <v>-5.55555559694767E-2</v>
      </c>
    </row>
    <row r="690" spans="1:4" x14ac:dyDescent="0.55000000000000004">
      <c r="A690" t="s">
        <v>77</v>
      </c>
      <c r="B690" t="s">
        <v>46</v>
      </c>
      <c r="C690">
        <v>7.8034177422523499E-2</v>
      </c>
      <c r="D690">
        <v>0</v>
      </c>
    </row>
    <row r="691" spans="1:4" x14ac:dyDescent="0.55000000000000004">
      <c r="A691" t="s">
        <v>81</v>
      </c>
      <c r="B691" t="s">
        <v>53</v>
      </c>
      <c r="C691">
        <v>0.12357243895530701</v>
      </c>
      <c r="D691">
        <v>-1.4705882407724857E-2</v>
      </c>
    </row>
    <row r="692" spans="1:4" x14ac:dyDescent="0.55000000000000004">
      <c r="A692" t="s">
        <v>74</v>
      </c>
      <c r="B692" t="s">
        <v>53</v>
      </c>
      <c r="C692">
        <v>0.15979711711406708</v>
      </c>
      <c r="D692">
        <v>9.6153847873210907E-2</v>
      </c>
    </row>
    <row r="693" spans="1:4" x14ac:dyDescent="0.55000000000000004">
      <c r="A693" t="s">
        <v>74</v>
      </c>
      <c r="B693" t="s">
        <v>46</v>
      </c>
      <c r="C693">
        <v>0.23062421381473541</v>
      </c>
      <c r="D693">
        <v>0.2142857164144516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999A9B-86B8-417F-9B95-843B20E9BD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Finalized .CSV File</vt:lpstr>
      <vt:lpstr>2025 Pass Defense Outcomes</vt:lpstr>
      <vt:lpstr>Defensive Schemes</vt:lpstr>
      <vt:lpstr>2025 Coverage Grades by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2025-12-04T22:37:38Z</dcterms:modified>
</cp:coreProperties>
</file>